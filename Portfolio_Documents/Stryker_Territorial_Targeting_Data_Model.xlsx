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7c31452464b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3931b53757e4f55"/>
    <x:sheet xmlns:r="http://schemas.openxmlformats.org/officeDocument/2006/relationships" name="Scored_Data" sheetId="2" r:id="Rbff9f813b1984a9c"/>
    <x:sheet xmlns:r="http://schemas.openxmlformats.org/officeDocument/2006/relationships" name="Scoring_Weights" sheetId="3" r:id="Rce8c83c5855346fd"/>
    <x:sheet xmlns:r="http://schemas.openxmlformats.org/officeDocument/2006/relationships" name="PowerBI_Build_Spec" sheetId="4" r:id="R0eaa68bea71b49a2"/>
    <x:sheet xmlns:r="http://schemas.openxmlformats.org/officeDocument/2006/relationships" name="RapidMiner_Workflow" sheetId="5" r:id="R03b7651fd0ee4e29"/>
    <x:sheet xmlns:r="http://schemas.openxmlformats.org/officeDocument/2006/relationships" name="Data_Dictionary" sheetId="6" r:id="R19bd0465ebd947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%"/>
    <x:numFmt numFmtId="201" formatCode="@"/>
    <x:numFmt numFmtId="202" formatCode="$#,##0,,&quot;M&quot;"/>
    <x:numFmt numFmtId="203" formatCode="#,##0"/>
    <x:numFmt numFmtId="204" formatCode="0"/>
    <x:numFmt numFmtId="205" formatCode="0.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i/>
      <x:sz val="11"/>
      <x:color rgb="FF697386"/>
      <x:name val="Carlito"/>
    </x:font>
    <x:font>
      <x:b/>
      <x:sz val="14"/>
      <x:color rgb="FF172033"/>
      <x:name val="Carlito"/>
    </x:font>
    <x:font>
      <x:sz val="11"/>
      <x:color rgb="FF8A3D2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DF1F5"/>
      </x:patternFill>
    </x:fill>
    <x:fill>
      <x:patternFill patternType="solid">
        <x:fgColor rgb="FFFFFFFF"/>
      </x:patternFill>
    </x:fill>
    <x:fill>
      <x:patternFill patternType="solid">
        <x:fgColor rgb="FF2F7D8C"/>
      </x:patternFill>
    </x:fill>
    <x:fill>
      <x:patternFill patternType="solid">
        <x:fgColor rgb="FFD85F30"/>
      </x:patternFill>
    </x:fill>
    <x:fill>
      <x:patternFill patternType="solid">
        <x:fgColor rgb="FFFFF4EE"/>
      </x:patternFill>
    </x:fill>
  </x:fills>
  <x:borders count="2">
    <x:border/>
    <x:border/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5840cf4ff64a53" /><Relationship Type="http://schemas.openxmlformats.org/officeDocument/2006/relationships/theme" Target="/xl/theme/theme1.xml" Id="R01150346c4bc4509" /><Relationship Type="http://schemas.openxmlformats.org/officeDocument/2006/relationships/sharedStrings" Target="/xl/sharedStrings.xml" Id="Rb2e01bd4f64a487a" /><Relationship Type="http://schemas.openxmlformats.org/officeDocument/2006/relationships/worksheet" Target="/xl/worksheets/sheet1.xml" Id="R53931b53757e4f55" /><Relationship Type="http://schemas.openxmlformats.org/officeDocument/2006/relationships/worksheet" Target="/xl/worksheets/sheet2.xml" Id="Rbff9f813b1984a9c" /><Relationship Type="http://schemas.openxmlformats.org/officeDocument/2006/relationships/worksheet" Target="/xl/worksheets/sheet3.xml" Id="Rce8c83c5855346fd" /><Relationship Type="http://schemas.openxmlformats.org/officeDocument/2006/relationships/worksheet" Target="/xl/worksheets/sheet4.xml" Id="R0eaa68bea71b49a2" /><Relationship Type="http://schemas.openxmlformats.org/officeDocument/2006/relationships/worksheet" Target="/xl/worksheets/sheet5.xml" Id="R03b7651fd0ee4e29" /><Relationship Type="http://schemas.openxmlformats.org/officeDocument/2006/relationships/worksheet" Target="/xl/worksheets/sheet6.xml" Id="R19bd0465ebd947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1b1e28e2c544e1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States by Modeled E-commerce Sales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Territory</c:v>
          </c:tx>
          <c:cat>
            <c:strRef>
              <c:f>'Dashboard'!$B$11:$B$20</c:f>
              <c:strCache>
                <c:ptCount val="0"/>
              </c:strCache>
            </c:strRef>
          </c:cat>
          <c:val>
            <c:numRef>
              <c:f>'Dashboard'!$C$11:$C$20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Sales</c:v>
          </c:tx>
          <c:cat>
            <c:strRef>
              <c:f>'Dashboard'!$B$11:$B$20</c:f>
              <c:strCache>
                <c:ptCount val="0"/>
              </c:strCache>
            </c:strRef>
          </c:cat>
          <c:val>
            <c:numRef>
              <c:f>'Dashboard'!$D$11:$D$20</c:f>
              <c:numCache>
                <c:formatCode>$#,##0,,"M"</c:formatCode>
                <c:ptCount val="0"/>
              </c:numCache>
            </c:numRef>
          </c:val>
        </c:ser>
        <c:ser>
          <c:idx val="2"/>
          <c:order val="2"/>
          <c:tx>
            <c:v>Growth</c:v>
          </c:tx>
          <c:cat>
            <c:strRef>
              <c:f>'Dashboard'!$B$11:$B$20</c:f>
              <c:strCache>
                <c:ptCount val="0"/>
              </c:strCache>
            </c:strRef>
          </c:cat>
          <c:val>
            <c:numRef>
              <c:f>'Dashboard'!$E$11:$E$20</c:f>
              <c:numCache>
                <c:formatCode>0%</c:formatCode>
                <c:ptCount val="0"/>
              </c:numCache>
            </c:numRef>
          </c:val>
        </c:ser>
        <c:ser>
          <c:idx val="3"/>
          <c:order val="3"/>
          <c:tx>
            <c:v>Priority Score</c:v>
          </c:tx>
          <c:cat>
            <c:strRef>
              <c:f>'Dashboard'!$B$11:$B$20</c:f>
              <c:strCache>
                <c:ptCount val="0"/>
              </c:strCache>
            </c:strRef>
          </c:cat>
          <c:val>
            <c:numRef>
              <c:f>'Dashboard'!$F$11:$F$20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b1e28e2c544e1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rgetingDataTable" displayName="TargetingDataTable" ref="A1:M52" headerRowCount="1">
  <x:tableColumns count="13">
    <x:tableColumn id="1" name="State FIPS"/>
    <x:tableColumn id="2" name="State Abbr"/>
    <x:tableColumn id="3" name="State Name"/>
    <x:tableColumn id="4" name="Territory"/>
    <x:tableColumn id="5" name="E-commerce Sales"/>
    <x:tableColumn id="6" name="Online Orders"/>
    <x:tableColumn id="7" name="YoY Growth"/>
    <x:tableColumn id="8" name="Market Potential"/>
    <x:tableColumn id="9" name="Coverage"/>
    <x:tableColumn id="10" name="Whitespace"/>
    <x:tableColumn id="11" name="Priority Score"/>
    <x:tableColumn id="12" name="Priority Tier"/>
    <x:tableColumn id="13" name="Recommended 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4ff6459770846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cc76e154e5417f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8" hidden="0" customWidth="1"/>
    <x:col min="4" max="4" width="15" hidden="0" customWidth="1"/>
    <x:col min="5" max="5" width="12" hidden="0" customWidth="1"/>
    <x:col min="6" max="6" width="15" hidden="0" customWidth="1"/>
    <x:col min="7" max="7" width="3" hidden="0" customWidth="1"/>
    <x:col min="8" max="8" width="22" hidden="0" customWidth="1"/>
    <x:col min="9" max="9" width="10" hidden="0" customWidth="1"/>
    <x:col min="10" max="10" width="16" hidden="0" customWidth="1"/>
    <x:col min="11" max="11" width="14" hidden="0" customWidth="1"/>
    <x:col min="12" max="12" width="15" hidden="0" customWidth="1"/>
  </x:cols>
  <x:sheetData>
    <x:row r="1">
      <x:c r="A1" s="27" t="str">
        <x:v>E-commerce Territorial Targeting Analysis</x:v>
      </x:c>
    </x:row>
    <x:row r="3">
      <x:c r="A3" s="32" t="str">
        <x:v>Synthetic portfolio demonstration | RapidMiner-to-Power BI territory prioritization</x:v>
      </x:c>
    </x:row>
    <x:row r="5">
      <x:c r="A5" s="39" t="str">
        <x:v>Modeled E-commerce Sales
$1.86B</x:v>
      </x:c>
      <x:c r="D5" s="39" t="str">
        <x:v>Priority Markets
4</x:v>
      </x:c>
      <x:c r="G5" s="39" t="str">
        <x:v>Weighted Growth
15.4%</x:v>
      </x:c>
      <x:c r="J5" s="39" t="str">
        <x:v>Recommended Focus
Northeast</x:v>
      </x:c>
    </x:row>
    <x:row r="10">
      <x:c r="A10" s="47" t="str">
        <x:v>Rank</x:v>
      </x:c>
      <x:c r="B10" s="47" t="str">
        <x:v>State</x:v>
      </x:c>
      <x:c r="C10" s="47" t="str">
        <x:v>Territory</x:v>
      </x:c>
      <x:c r="D10" s="47" t="str">
        <x:v>Sales</x:v>
      </x:c>
      <x:c r="E10" s="47" t="str">
        <x:v>Growth</x:v>
      </x:c>
      <x:c r="F10" s="47" t="str">
        <x:v>Priority Score</x:v>
      </x:c>
      <x:c r="H10" s="53" t="str">
        <x:v>Territory</x:v>
      </x:c>
      <x:c r="I10" s="53" t="str">
        <x:v>States</x:v>
      </x:c>
      <x:c r="J10" s="53" t="str">
        <x:v>Sales</x:v>
      </x:c>
      <x:c r="K10" s="53" t="str">
        <x:v>Orders</x:v>
      </x:c>
      <x:c r="L10" s="53" t="str">
        <x:v>Avg Priority</x:v>
      </x:c>
    </x:row>
    <x:row r="11">
      <x:c r="A11" s="10" t="n">
        <x:v>1</x:v>
      </x:c>
      <x:c r="B11" s="10" t="str">
        <x:v>California</x:v>
      </x:c>
      <x:c r="C11" s="10" t="str">
        <x:v>West</x:v>
      </x:c>
      <x:c r="D11" s="17" t="n">
        <x:v>92000000</x:v>
      </x:c>
      <x:c r="E11" s="8" t="n">
        <x:v>0.18</x:v>
      </x:c>
      <x:c r="F11" s="10" t="n">
        <x:v>85</x:v>
      </x:c>
      <x:c r="H11" s="10" t="str">
        <x:v>Northeast</x:v>
      </x:c>
      <x:c r="I11" s="10" t="n">
        <x:v>14</x:v>
      </x:c>
      <x:c r="J11" s="17" t="n">
        <x:v>441000000</x:v>
      </x:c>
      <x:c r="K11" s="19" t="n">
        <x:v>56362</x:v>
      </x:c>
      <x:c r="L11" s="57" t="n">
        <x:v>47.8</x:v>
      </x:c>
    </x:row>
    <x:row r="12">
      <x:c r="A12" s="10" t="n">
        <x:v>2</x:v>
      </x:c>
      <x:c r="B12" s="10" t="str">
        <x:v>Texas</x:v>
      </x:c>
      <x:c r="C12" s="10" t="str">
        <x:v>Southeast</x:v>
      </x:c>
      <x:c r="D12" s="17" t="n">
        <x:v>84000000</x:v>
      </x:c>
      <x:c r="E12" s="8" t="n">
        <x:v>0.21</x:v>
      </x:c>
      <x:c r="F12" s="10" t="n">
        <x:v>83</x:v>
      </x:c>
      <x:c r="H12" s="10" t="str">
        <x:v>Southeast</x:v>
      </x:c>
      <x:c r="I12" s="10" t="n">
        <x:v>12</x:v>
      </x:c>
      <x:c r="J12" s="17" t="n">
        <x:v>542000000</x:v>
      </x:c>
      <x:c r="K12" s="19" t="n">
        <x:v>56899</x:v>
      </x:c>
      <x:c r="L12" s="57" t="n">
        <x:v>55.3</x:v>
      </x:c>
    </x:row>
    <x:row r="13">
      <x:c r="A13" s="10" t="n">
        <x:v>3</x:v>
      </x:c>
      <x:c r="B13" s="10" t="str">
        <x:v>Florida</x:v>
      </x:c>
      <x:c r="C13" s="10" t="str">
        <x:v>Southeast</x:v>
      </x:c>
      <x:c r="D13" s="17" t="n">
        <x:v>72000000</x:v>
      </x:c>
      <x:c r="E13" s="8" t="n">
        <x:v>0.19</x:v>
      </x:c>
      <x:c r="F13" s="10" t="n">
        <x:v>76</x:v>
      </x:c>
      <x:c r="H13" s="10" t="str">
        <x:v>Mountain &amp; Plains</x:v>
      </x:c>
      <x:c r="I13" s="10" t="n">
        <x:v>9</x:v>
      </x:c>
      <x:c r="J13" s="17" t="n">
        <x:v>264000000</x:v>
      </x:c>
      <x:c r="K13" s="19" t="n">
        <x:v>32997</x:v>
      </x:c>
      <x:c r="L13" s="57" t="n">
        <x:v>47.4</x:v>
      </x:c>
    </x:row>
    <x:row r="14">
      <x:c r="A14" s="10" t="n">
        <x:v>4</x:v>
      </x:c>
      <x:c r="B14" s="10" t="str">
        <x:v>New York</x:v>
      </x:c>
      <x:c r="C14" s="10" t="str">
        <x:v>Northeast</x:v>
      </x:c>
      <x:c r="D14" s="17" t="n">
        <x:v>79000000</x:v>
      </x:c>
      <x:c r="E14" s="8" t="n">
        <x:v>0.12</x:v>
      </x:c>
      <x:c r="F14" s="10" t="n">
        <x:v>71</x:v>
      </x:c>
      <x:c r="H14" s="10" t="str">
        <x:v>West</x:v>
      </x:c>
      <x:c r="I14" s="10" t="n">
        <x:v>8</x:v>
      </x:c>
      <x:c r="J14" s="17" t="n">
        <x:v>296000000</x:v>
      </x:c>
      <x:c r="K14" s="19" t="n">
        <x:v>32285</x:v>
      </x:c>
      <x:c r="L14" s="57" t="n">
        <x:v>50.6</x:v>
      </x:c>
    </x:row>
    <x:row r="15">
      <x:c r="A15" s="10" t="n">
        <x:v>5</x:v>
      </x:c>
      <x:c r="B15" s="10" t="str">
        <x:v>Georgia</x:v>
      </x:c>
      <x:c r="C15" s="10" t="str">
        <x:v>Southeast</x:v>
      </x:c>
      <x:c r="D15" s="17" t="n">
        <x:v>51000000</x:v>
      </x:c>
      <x:c r="E15" s="8" t="n">
        <x:v>0.23</x:v>
      </x:c>
      <x:c r="F15" s="10" t="n">
        <x:v>69</x:v>
      </x:c>
      <x:c r="H15" s="10" t="str">
        <x:v>Central</x:v>
      </x:c>
      <x:c r="I15" s="10" t="n">
        <x:v>8</x:v>
      </x:c>
      <x:c r="J15" s="17" t="n">
        <x:v>322000000</x:v>
      </x:c>
      <x:c r="K15" s="19" t="n">
        <x:v>30108</x:v>
      </x:c>
      <x:c r="L15" s="57" t="n">
        <x:v>49.8</x:v>
      </x:c>
    </x:row>
    <x:row r="16">
      <x:c r="A16" s="10" t="n">
        <x:v>6</x:v>
      </x:c>
      <x:c r="B16" s="10" t="str">
        <x:v>North Carolina</x:v>
      </x:c>
      <x:c r="C16" s="10" t="str">
        <x:v>Southeast</x:v>
      </x:c>
      <x:c r="D16" s="17" t="n">
        <x:v>49000000</x:v>
      </x:c>
      <x:c r="E16" s="8" t="n">
        <x:v>0.22</x:v>
      </x:c>
      <x:c r="F16" s="10" t="n">
        <x:v>66</x:v>
      </x:c>
    </x:row>
    <x:row r="17">
      <x:c r="A17" s="10" t="n">
        <x:v>7</x:v>
      </x:c>
      <x:c r="B17" s="10" t="str">
        <x:v>Arizona</x:v>
      </x:c>
      <x:c r="C17" s="10" t="str">
        <x:v>Mountain &amp; Plains</x:v>
      </x:c>
      <x:c r="D17" s="17" t="n">
        <x:v>39000000</x:v>
      </x:c>
      <x:c r="E17" s="8" t="n">
        <x:v>0.25</x:v>
      </x:c>
      <x:c r="F17" s="10" t="n">
        <x:v>64</x:v>
      </x:c>
      <x:c r="H17" s="62" t="str">
        <x:v>Portfolio disclaimer
All values are synthetic. This workbook does not contain confidential Stryker information, actual sales results, or official territory boundaries.</x:v>
      </x:c>
    </x:row>
    <x:row r="18">
      <x:c r="A18" s="10" t="n">
        <x:v>8</x:v>
      </x:c>
      <x:c r="B18" s="10" t="str">
        <x:v>Illinois</x:v>
      </x:c>
      <x:c r="C18" s="10" t="str">
        <x:v>Central</x:v>
      </x:c>
      <x:c r="D18" s="17" t="n">
        <x:v>63000000</x:v>
      </x:c>
      <x:c r="E18" s="8" t="n">
        <x:v>0.14</x:v>
      </x:c>
      <x:c r="F18" s="10" t="n">
        <x:v>64</x:v>
      </x:c>
    </x:row>
    <x:row r="19">
      <x:c r="A19" s="10" t="n">
        <x:v>9</x:v>
      </x:c>
      <x:c r="B19" s="10" t="str">
        <x:v>Pennsylvania</x:v>
      </x:c>
      <x:c r="C19" s="10" t="str">
        <x:v>Northeast</x:v>
      </x:c>
      <x:c r="D19" s="17" t="n">
        <x:v>58000000</x:v>
      </x:c>
      <x:c r="E19" s="8" t="n">
        <x:v>0.16</x:v>
      </x:c>
      <x:c r="F19" s="10" t="n">
        <x:v>64</x:v>
      </x:c>
    </x:row>
    <x:row r="20">
      <x:c r="A20" s="10" t="n">
        <x:v>10</x:v>
      </x:c>
      <x:c r="B20" s="10" t="str">
        <x:v>Ohio</x:v>
      </x:c>
      <x:c r="C20" s="10" t="str">
        <x:v>Central</x:v>
      </x:c>
      <x:c r="D20" s="17" t="n">
        <x:v>47000000</x:v>
      </x:c>
      <x:c r="E20" s="8" t="n">
        <x:v>0.15</x:v>
      </x:c>
      <x:c r="F20" s="10" t="n">
        <x:v>57</x:v>
      </x:c>
    </x:row>
  </x:sheetData>
  <x:mergeCells>
    <x:mergeCell ref="A1:L2"/>
    <x:mergeCell ref="A3:L3"/>
    <x:mergeCell ref="A5:C8"/>
    <x:mergeCell ref="D5:F8"/>
    <x:mergeCell ref="G5:I8"/>
    <x:mergeCell ref="J5:L8"/>
    <x:mergeCell ref="H17:L20"/>
  </x:mergeCells>
  <x:conditionalFormatting sqref="F11:F20">
    <x:cfRule type="dataBar" priority="1">
      <x:dataBar>
        <x:cfvo type="min"/>
        <x:cfvo type="max"/>
        <x:color rgb="FF2F7D8C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74ff645977084617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2F7D8C"/>
            </x14:dataBar>
          </x14:cfRule>
          <xm:sqref>F11:F20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22" hidden="0" customWidth="1"/>
    <x:col min="4" max="4" width="20" hidden="0" customWidth="1"/>
    <x:col min="5" max="5" width="18" hidden="0" customWidth="1"/>
    <x:col min="6" max="6" width="14" hidden="0" customWidth="1"/>
    <x:col min="7" max="7" width="12" hidden="0" customWidth="1"/>
    <x:col min="8" max="8" width="16" hidden="0" customWidth="1"/>
    <x:col min="9" max="9" width="12" hidden="0" customWidth="1"/>
    <x:col min="10" max="10" width="12" hidden="0" customWidth="1"/>
    <x:col min="11" max="11" width="14" hidden="0" customWidth="1"/>
    <x:col min="12" max="12" width="13" hidden="0" customWidth="1"/>
    <x:col min="13" max="13" width="48" hidden="0" customWidth="1"/>
  </x:cols>
  <x:sheetData>
    <x:row r="1">
      <x:c r="A1" s="12" t="str">
        <x:v>State FIPS</x:v>
      </x:c>
      <x:c r="B1" s="12" t="str">
        <x:v>State Abbr</x:v>
      </x:c>
      <x:c r="C1" s="12" t="str">
        <x:v>State Name</x:v>
      </x:c>
      <x:c r="D1" s="12" t="str">
        <x:v>Territory</x:v>
      </x:c>
      <x:c r="E1" s="12" t="str">
        <x:v>E-commerce Sales</x:v>
      </x:c>
      <x:c r="F1" s="12" t="str">
        <x:v>Online Orders</x:v>
      </x:c>
      <x:c r="G1" s="12" t="str">
        <x:v>YoY Growth</x:v>
      </x:c>
      <x:c r="H1" s="12" t="str">
        <x:v>Market Potential</x:v>
      </x:c>
      <x:c r="I1" s="12" t="str">
        <x:v>Coverage</x:v>
      </x:c>
      <x:c r="J1" s="12" t="str">
        <x:v>Whitespace</x:v>
      </x:c>
      <x:c r="K1" s="12" t="str">
        <x:v>Priority Score</x:v>
      </x:c>
      <x:c r="L1" s="12" t="str">
        <x:v>Priority Tier</x:v>
      </x:c>
      <x:c r="M1" s="12" t="str">
        <x:v>Recommended Action</x:v>
      </x:c>
    </x:row>
    <x:row r="2">
      <x:c r="A2" s="15" t="str">
        <x:v>01</x:v>
      </x:c>
      <x:c r="B2" s="15" t="str">
        <x:v>AL</x:v>
      </x:c>
      <x:c r="C2" s="10" t="str">
        <x:v>Alabama</x:v>
      </x:c>
      <x:c r="D2" s="10" t="str">
        <x:v>Southeast</x:v>
      </x:c>
      <x:c r="E2" s="17" t="n">
        <x:v>29000000</x:v>
      </x:c>
      <x:c r="F2" s="19" t="n">
        <x:v>2811</x:v>
      </x:c>
      <x:c r="G2" s="8" t="n">
        <x:v>0.22</x:v>
      </x:c>
      <x:c r="H2" s="21" t="n">
        <x:v>59</x:v>
      </x:c>
      <x:c r="I2" s="8" t="n">
        <x:v>0.55</x:v>
      </x:c>
      <x:c r="J2" s="8" t="n">
        <x:f>1-I2</x:f>
        <x:v>0.44999999999999996</x:v>
      </x:c>
      <x:c r="K2" s="21" t="n">
        <x:f>ROUND(100*(Scoring_Weights!$B$2*(E2/MAX($E$2:$E$52))+Scoring_Weights!$B$3*(F2/MAX($F$2:$F$52))+Scoring_Weights!$B$4*(G2/MAX($G$2:$G$52))+Scoring_Weights!$B$5*(H2/100)+Scoring_Weights!$B$6*J2),0)</x:f>
        <x:v>49</x:v>
      </x:c>
      <x:c r="L2" s="10" t="str">
        <x:f>IF(K2&gt;=72,"Highest",IF(K2&gt;=60,"High",IF(K2&gt;=45,"Moderate","Low")))</x:f>
        <x:v>Moderate</x:v>
      </x:c>
      <x:c r="M2" s="23" t="str">
        <x:f>IF(K2&gt;=70,"Prioritize digital campaigns and field coverage review",IF(K2&gt;=55,"Test targeted campaigns and monitor conversion","Maintain baseline coverage and reassess quarterly"))</x:f>
        <x:v>Maintain baseline coverage and reassess quarterly</x:v>
      </x:c>
    </x:row>
    <x:row r="3">
      <x:c r="A3" s="15" t="str">
        <x:v>02</x:v>
      </x:c>
      <x:c r="B3" s="15" t="str">
        <x:v>AK</x:v>
      </x:c>
      <x:c r="C3" s="10" t="str">
        <x:v>Alaska</x:v>
      </x:c>
      <x:c r="D3" s="10" t="str">
        <x:v>West</x:v>
      </x:c>
      <x:c r="E3" s="17" t="n">
        <x:v>18000000</x:v>
      </x:c>
      <x:c r="F3" s="19" t="n">
        <x:v>5135</x:v>
      </x:c>
      <x:c r="G3" s="8" t="n">
        <x:v>0.14</x:v>
      </x:c>
      <x:c r="H3" s="21" t="n">
        <x:v>44</x:v>
      </x:c>
      <x:c r="I3" s="8" t="n">
        <x:v>0.44</x:v>
      </x:c>
      <x:c r="J3" s="8" t="n">
        <x:f>1-I3</x:f>
        <x:v>0.56</x:v>
      </x:c>
      <x:c r="K3" s="21" t="n">
        <x:f>ROUND(100*(Scoring_Weights!$B$2*(E3/MAX($E$2:$E$52))+Scoring_Weights!$B$3*(F3/MAX($F$2:$F$52))+Scoring_Weights!$B$4*(G3/MAX($G$2:$G$52))+Scoring_Weights!$B$5*(H3/100)+Scoring_Weights!$B$6*J3),0)</x:f>
        <x:v>43</x:v>
      </x:c>
      <x:c r="L3" s="10" t="str">
        <x:f>IF(K3&gt;=72,"Highest",IF(K3&gt;=60,"High",IF(K3&gt;=45,"Moderate","Low")))</x:f>
        <x:v>Low</x:v>
      </x:c>
      <x:c r="M3" s="23" t="str">
        <x:f>IF(K3&gt;=70,"Prioritize digital campaigns and field coverage review",IF(K3&gt;=55,"Test targeted campaigns and monitor conversion","Maintain baseline coverage and reassess quarterly"))</x:f>
        <x:v>Maintain baseline coverage and reassess quarterly</x:v>
      </x:c>
    </x:row>
    <x:row r="4">
      <x:c r="A4" s="15" t="str">
        <x:v>04</x:v>
      </x:c>
      <x:c r="B4" s="15" t="str">
        <x:v>AZ</x:v>
      </x:c>
      <x:c r="C4" s="10" t="str">
        <x:v>Arizona</x:v>
      </x:c>
      <x:c r="D4" s="10" t="str">
        <x:v>Mountain &amp; Plains</x:v>
      </x:c>
      <x:c r="E4" s="17" t="n">
        <x:v>39000000</x:v>
      </x:c>
      <x:c r="F4" s="19" t="n">
        <x:v>4460</x:v>
      </x:c>
      <x:c r="G4" s="8" t="n">
        <x:v>0.25</x:v>
      </x:c>
      <x:c r="H4" s="21" t="n">
        <x:v>79</x:v>
      </x:c>
      <x:c r="I4" s="8" t="n">
        <x:v>0.43</x:v>
      </x:c>
      <x:c r="J4" s="8" t="n">
        <x:f>1-I4</x:f>
        <x:v>0.5700000000000001</x:v>
      </x:c>
      <x:c r="K4" s="21" t="n">
        <x:f>ROUND(100*(Scoring_Weights!$B$2*(E4/MAX($E$2:$E$52))+Scoring_Weights!$B$3*(F4/MAX($F$2:$F$52))+Scoring_Weights!$B$4*(G4/MAX($G$2:$G$52))+Scoring_Weights!$B$5*(H4/100)+Scoring_Weights!$B$6*J4),0)</x:f>
        <x:v>64</x:v>
      </x:c>
      <x:c r="L4" s="10" t="str">
        <x:f>IF(K4&gt;=72,"Highest",IF(K4&gt;=60,"High",IF(K4&gt;=45,"Moderate","Low")))</x:f>
        <x:v>High</x:v>
      </x:c>
      <x:c r="M4" s="23" t="str">
        <x:f>IF(K4&gt;=70,"Prioritize digital campaigns and field coverage review",IF(K4&gt;=55,"Test targeted campaigns and monitor conversion","Maintain baseline coverage and reassess quarterly"))</x:f>
        <x:v>Test targeted campaigns and monitor conversion</x:v>
      </x:c>
    </x:row>
    <x:row r="5">
      <x:c r="A5" s="15" t="str">
        <x:v>05</x:v>
      </x:c>
      <x:c r="B5" s="15" t="str">
        <x:v>AR</x:v>
      </x:c>
      <x:c r="C5" s="10" t="str">
        <x:v>Arkansas</x:v>
      </x:c>
      <x:c r="D5" s="10" t="str">
        <x:v>Southeast</x:v>
      </x:c>
      <x:c r="E5" s="17" t="n">
        <x:v>13000000</x:v>
      </x:c>
      <x:c r="F5" s="19" t="n">
        <x:v>3394</x:v>
      </x:c>
      <x:c r="G5" s="8" t="n">
        <x:v>0.15</x:v>
      </x:c>
      <x:c r="H5" s="21" t="n">
        <x:v>74</x:v>
      </x:c>
      <x:c r="I5" s="8" t="n">
        <x:v>0.39</x:v>
      </x:c>
      <x:c r="J5" s="8" t="n">
        <x:f>1-I5</x:f>
        <x:v>0.61</x:v>
      </x:c>
      <x:c r="K5" s="21" t="n">
        <x:f>ROUND(100*(Scoring_Weights!$B$2*(E5/MAX($E$2:$E$52))+Scoring_Weights!$B$3*(F5/MAX($F$2:$F$52))+Scoring_Weights!$B$4*(G5/MAX($G$2:$G$52))+Scoring_Weights!$B$5*(H5/100)+Scoring_Weights!$B$6*J5),0)</x:f>
        <x:v>45</x:v>
      </x:c>
      <x:c r="L5" s="10" t="str">
        <x:f>IF(K5&gt;=72,"Highest",IF(K5&gt;=60,"High",IF(K5&gt;=45,"Moderate","Low")))</x:f>
        <x:v>Moderate</x:v>
      </x:c>
      <x:c r="M5" s="23" t="str">
        <x:f>IF(K5&gt;=70,"Prioritize digital campaigns and field coverage review",IF(K5&gt;=55,"Test targeted campaigns and monitor conversion","Maintain baseline coverage and reassess quarterly"))</x:f>
        <x:v>Maintain baseline coverage and reassess quarterly</x:v>
      </x:c>
    </x:row>
    <x:row r="6">
      <x:c r="A6" s="15" t="str">
        <x:v>06</x:v>
      </x:c>
      <x:c r="B6" s="15" t="str">
        <x:v>CA</x:v>
      </x:c>
      <x:c r="C6" s="10" t="str">
        <x:v>California</x:v>
      </x:c>
      <x:c r="D6" s="10" t="str">
        <x:v>West</x:v>
      </x:c>
      <x:c r="E6" s="17" t="n">
        <x:v>92000000</x:v>
      </x:c>
      <x:c r="F6" s="19" t="n">
        <x:v>9600</x:v>
      </x:c>
      <x:c r="G6" s="8" t="n">
        <x:v>0.18</x:v>
      </x:c>
      <x:c r="H6" s="21" t="n">
        <x:v>94</x:v>
      </x:c>
      <x:c r="I6" s="8" t="n">
        <x:v>0.67</x:v>
      </x:c>
      <x:c r="J6" s="8" t="n">
        <x:f>1-I6</x:f>
        <x:v>0.32999999999999996</x:v>
      </x:c>
      <x:c r="K6" s="21" t="n">
        <x:f>ROUND(100*(Scoring_Weights!$B$2*(E6/MAX($E$2:$E$52))+Scoring_Weights!$B$3*(F6/MAX($F$2:$F$52))+Scoring_Weights!$B$4*(G6/MAX($G$2:$G$52))+Scoring_Weights!$B$5*(H6/100)+Scoring_Weights!$B$6*J6),0)</x:f>
        <x:v>85</x:v>
      </x:c>
      <x:c r="L6" s="10" t="str">
        <x:f>IF(K6&gt;=72,"Highest",IF(K6&gt;=60,"High",IF(K6&gt;=45,"Moderate","Low")))</x:f>
        <x:v>Highest</x:v>
      </x:c>
      <x:c r="M6" s="23" t="str">
        <x:f>IF(K6&gt;=70,"Prioritize digital campaigns and field coverage review",IF(K6&gt;=55,"Test targeted campaigns and monitor conversion","Maintain baseline coverage and reassess quarterly"))</x:f>
        <x:v>Prioritize digital campaigns and field coverage review</x:v>
      </x:c>
    </x:row>
    <x:row r="7">
      <x:c r="A7" s="15" t="str">
        <x:v>08</x:v>
      </x:c>
      <x:c r="B7" s="15" t="str">
        <x:v>CO</x:v>
      </x:c>
      <x:c r="C7" s="10" t="str">
        <x:v>Colorado</x:v>
      </x:c>
      <x:c r="D7" s="10" t="str">
        <x:v>Mountain &amp; Plains</x:v>
      </x:c>
      <x:c r="E7" s="17" t="n">
        <x:v>47000000</x:v>
      </x:c>
      <x:c r="F7" s="19" t="n">
        <x:v>1653</x:v>
      </x:c>
      <x:c r="G7" s="8" t="n">
        <x:v>0.16</x:v>
      </x:c>
      <x:c r="H7" s="21" t="n">
        <x:v>61</x:v>
      </x:c>
      <x:c r="I7" s="8" t="n">
        <x:v>0.73</x:v>
      </x:c>
      <x:c r="J7" s="8" t="n">
        <x:f>1-I7</x:f>
        <x:v>0.27</x:v>
      </x:c>
      <x:c r="K7" s="21" t="n">
        <x:f>ROUND(100*(Scoring_Weights!$B$2*(E7/MAX($E$2:$E$52))+Scoring_Weights!$B$3*(F7/MAX($F$2:$F$52))+Scoring_Weights!$B$4*(G7/MAX($G$2:$G$52))+Scoring_Weights!$B$5*(H7/100)+Scoring_Weights!$B$6*J7),0)</x:f>
        <x:v>46</x:v>
      </x:c>
      <x:c r="L7" s="10" t="str">
        <x:f>IF(K7&gt;=72,"Highest",IF(K7&gt;=60,"High",IF(K7&gt;=45,"Moderate","Low")))</x:f>
        <x:v>Moderate</x:v>
      </x:c>
      <x:c r="M7" s="23" t="str">
        <x:f>IF(K7&gt;=70,"Prioritize digital campaigns and field coverage review",IF(K7&gt;=55,"Test targeted campaigns and monitor conversion","Maintain baseline coverage and reassess quarterly"))</x:f>
        <x:v>Maintain baseline coverage and reassess quarterly</x:v>
      </x:c>
    </x:row>
    <x:row r="8">
      <x:c r="A8" s="15" t="str">
        <x:v>09</x:v>
      </x:c>
      <x:c r="B8" s="15" t="str">
        <x:v>CT</x:v>
      </x:c>
      <x:c r="C8" s="10" t="str">
        <x:v>Connecticut</x:v>
      </x:c>
      <x:c r="D8" s="10" t="str">
        <x:v>Northeast</x:v>
      </x:c>
      <x:c r="E8" s="17" t="n">
        <x:v>36000000</x:v>
      </x:c>
      <x:c r="F8" s="19" t="n">
        <x:v>3977</x:v>
      </x:c>
      <x:c r="G8" s="8" t="n">
        <x:v>0.08</x:v>
      </x:c>
      <x:c r="H8" s="21" t="n">
        <x:v>46</x:v>
      </x:c>
      <x:c r="I8" s="8" t="n">
        <x:v>0.62</x:v>
      </x:c>
      <x:c r="J8" s="8" t="n">
        <x:f>1-I8</x:f>
        <x:v>0.38</x:v>
      </x:c>
      <x:c r="K8" s="21" t="n">
        <x:f>ROUND(100*(Scoring_Weights!$B$2*(E8/MAX($E$2:$E$52))+Scoring_Weights!$B$3*(F8/MAX($F$2:$F$52))+Scoring_Weights!$B$4*(G8/MAX($G$2:$G$52))+Scoring_Weights!$B$5*(H8/100)+Scoring_Weights!$B$6*J8),0)</x:f>
        <x:v>39</x:v>
      </x:c>
      <x:c r="L8" s="10" t="str">
        <x:f>IF(K8&gt;=72,"Highest",IF(K8&gt;=60,"High",IF(K8&gt;=45,"Moderate","Low")))</x:f>
        <x:v>Low</x:v>
      </x:c>
      <x:c r="M8" s="23" t="str">
        <x:f>IF(K8&gt;=70,"Prioritize digital campaigns and field coverage review",IF(K8&gt;=55,"Test targeted campaigns and monitor conversion","Maintain baseline coverage and reassess quarterly"))</x:f>
        <x:v>Maintain baseline coverage and reassess quarterly</x:v>
      </x:c>
    </x:row>
    <x:row r="9">
      <x:c r="A9" s="15" t="str">
        <x:v>10</x:v>
      </x:c>
      <x:c r="B9" s="15" t="str">
        <x:v>DE</x:v>
      </x:c>
      <x:c r="C9" s="10" t="str">
        <x:v>Delaware</x:v>
      </x:c>
      <x:c r="D9" s="10" t="str">
        <x:v>Northeast</x:v>
      </x:c>
      <x:c r="E9" s="17" t="n">
        <x:v>25000000</x:v>
      </x:c>
      <x:c r="F9" s="19" t="n">
        <x:v>2401</x:v>
      </x:c>
      <x:c r="G9" s="8" t="n">
        <x:v>0.18</x:v>
      </x:c>
      <x:c r="H9" s="21" t="n">
        <x:v>74</x:v>
      </x:c>
      <x:c r="I9" s="8" t="n">
        <x:v>0.51</x:v>
      </x:c>
      <x:c r="J9" s="8" t="n">
        <x:f>1-I9</x:f>
        <x:v>0.49</x:v>
      </x:c>
      <x:c r="K9" s="21" t="n">
        <x:f>ROUND(100*(Scoring_Weights!$B$2*(E9/MAX($E$2:$E$52))+Scoring_Weights!$B$3*(F9/MAX($F$2:$F$52))+Scoring_Weights!$B$4*(G9/MAX($G$2:$G$52))+Scoring_Weights!$B$5*(H9/100)+Scoring_Weights!$B$6*J9),0)</x:f>
        <x:v>48</x:v>
      </x:c>
      <x:c r="L9" s="10" t="str">
        <x:f>IF(K9&gt;=72,"Highest",IF(K9&gt;=60,"High",IF(K9&gt;=45,"Moderate","Low")))</x:f>
        <x:v>Moderate</x:v>
      </x:c>
      <x:c r="M9" s="23" t="str">
        <x:f>IF(K9&gt;=70,"Prioritize digital campaigns and field coverage review",IF(K9&gt;=55,"Test targeted campaigns and monitor conversion","Maintain baseline coverage and reassess quarterly"))</x:f>
        <x:v>Maintain baseline coverage and reassess quarterly</x:v>
      </x:c>
    </x:row>
    <x:row r="10">
      <x:c r="A10" s="15" t="str">
        <x:v>11</x:v>
      </x:c>
      <x:c r="B10" s="15" t="str">
        <x:v>DC</x:v>
      </x:c>
      <x:c r="C10" s="10" t="str">
        <x:v>District of Columbia</x:v>
      </x:c>
      <x:c r="D10" s="10" t="str">
        <x:v>Northeast</x:v>
      </x:c>
      <x:c r="E10" s="17" t="n">
        <x:v>14000000</x:v>
      </x:c>
      <x:c r="F10" s="19" t="n">
        <x:v>4725</x:v>
      </x:c>
      <x:c r="G10" s="8" t="n">
        <x:v>0.1</x:v>
      </x:c>
      <x:c r="H10" s="21" t="n">
        <x:v>59</x:v>
      </x:c>
      <x:c r="I10" s="8" t="n">
        <x:v>0.4</x:v>
      </x:c>
      <x:c r="J10" s="8" t="n">
        <x:f>1-I10</x:f>
        <x:v>0.6</x:v>
      </x:c>
      <x:c r="K10" s="21" t="n">
        <x:f>ROUND(100*(Scoring_Weights!$B$2*(E10/MAX($E$2:$E$52))+Scoring_Weights!$B$3*(F10/MAX($F$2:$F$52))+Scoring_Weights!$B$4*(G10/MAX($G$2:$G$52))+Scoring_Weights!$B$5*(H10/100)+Scoring_Weights!$B$6*J10),0)</x:f>
        <x:v>41</x:v>
      </x:c>
      <x:c r="L10" s="10" t="str">
        <x:f>IF(K10&gt;=72,"Highest",IF(K10&gt;=60,"High",IF(K10&gt;=45,"Moderate","Low")))</x:f>
        <x:v>Low</x:v>
      </x:c>
      <x:c r="M10" s="23" t="str">
        <x:f>IF(K10&gt;=70,"Prioritize digital campaigns and field coverage review",IF(K10&gt;=55,"Test targeted campaigns and monitor conversion","Maintain baseline coverage and reassess quarterly"))</x:f>
        <x:v>Maintain baseline coverage and reassess quarterly</x:v>
      </x:c>
    </x:row>
    <x:row r="11">
      <x:c r="A11" s="15" t="str">
        <x:v>12</x:v>
      </x:c>
      <x:c r="B11" s="15" t="str">
        <x:v>FL</x:v>
      </x:c>
      <x:c r="C11" s="10" t="str">
        <x:v>Florida</x:v>
      </x:c>
      <x:c r="D11" s="10" t="str">
        <x:v>Southeast</x:v>
      </x:c>
      <x:c r="E11" s="17" t="n">
        <x:v>72000000</x:v>
      </x:c>
      <x:c r="F11" s="19" t="n">
        <x:v>7580</x:v>
      </x:c>
      <x:c r="G11" s="8" t="n">
        <x:v>0.19</x:v>
      </x:c>
      <x:c r="H11" s="21" t="n">
        <x:v>88</x:v>
      </x:c>
      <x:c r="I11" s="8" t="n">
        <x:v>0.58</x:v>
      </x:c>
      <x:c r="J11" s="8" t="n">
        <x:f>1-I11</x:f>
        <x:v>0.42000000000000004</x:v>
      </x:c>
      <x:c r="K11" s="21" t="n">
        <x:f>ROUND(100*(Scoring_Weights!$B$2*(E11/MAX($E$2:$E$52))+Scoring_Weights!$B$3*(F11/MAX($F$2:$F$52))+Scoring_Weights!$B$4*(G11/MAX($G$2:$G$52))+Scoring_Weights!$B$5*(H11/100)+Scoring_Weights!$B$6*J11),0)</x:f>
        <x:v>76</x:v>
      </x:c>
      <x:c r="L11" s="10" t="str">
        <x:f>IF(K11&gt;=72,"Highest",IF(K11&gt;=60,"High",IF(K11&gt;=45,"Moderate","Low")))</x:f>
        <x:v>Highest</x:v>
      </x:c>
      <x:c r="M11" s="23" t="str">
        <x:f>IF(K11&gt;=70,"Prioritize digital campaigns and field coverage review",IF(K11&gt;=55,"Test targeted campaigns and monitor conversion","Maintain baseline coverage and reassess quarterly"))</x:f>
        <x:v>Prioritize digital campaigns and field coverage review</x:v>
      </x:c>
    </x:row>
    <x:row r="12">
      <x:c r="A12" s="15" t="str">
        <x:v>13</x:v>
      </x:c>
      <x:c r="B12" s="15" t="str">
        <x:v>GA</x:v>
      </x:c>
      <x:c r="C12" s="10" t="str">
        <x:v>Georgia</x:v>
      </x:c>
      <x:c r="D12" s="10" t="str">
        <x:v>Southeast</x:v>
      </x:c>
      <x:c r="E12" s="17" t="n">
        <x:v>51000000</x:v>
      </x:c>
      <x:c r="F12" s="19" t="n">
        <x:v>5520</x:v>
      </x:c>
      <x:c r="G12" s="8" t="n">
        <x:v>0.23</x:v>
      </x:c>
      <x:c r="H12" s="21" t="n">
        <x:v>86</x:v>
      </x:c>
      <x:c r="I12" s="8" t="n">
        <x:v>0.49</x:v>
      </x:c>
      <x:c r="J12" s="8" t="n">
        <x:f>1-I12</x:f>
        <x:v>0.51</x:v>
      </x:c>
      <x:c r="K12" s="21" t="n">
        <x:f>ROUND(100*(Scoring_Weights!$B$2*(E12/MAX($E$2:$E$52))+Scoring_Weights!$B$3*(F12/MAX($F$2:$F$52))+Scoring_Weights!$B$4*(G12/MAX($G$2:$G$52))+Scoring_Weights!$B$5*(H12/100)+Scoring_Weights!$B$6*J12),0)</x:f>
        <x:v>69</x:v>
      </x:c>
      <x:c r="L12" s="10" t="str">
        <x:f>IF(K12&gt;=72,"Highest",IF(K12&gt;=60,"High",IF(K12&gt;=45,"Moderate","Low")))</x:f>
        <x:v>High</x:v>
      </x:c>
      <x:c r="M12" s="23" t="str">
        <x:f>IF(K12&gt;=70,"Prioritize digital campaigns and field coverage review",IF(K12&gt;=55,"Test targeted campaigns and monitor conversion","Maintain baseline coverage and reassess quarterly"))</x:f>
        <x:v>Test targeted campaigns and monitor conversion</x:v>
      </x:c>
    </x:row>
    <x:row r="13">
      <x:c r="A13" s="15" t="str">
        <x:v>15</x:v>
      </x:c>
      <x:c r="B13" s="15" t="str">
        <x:v>HI</x:v>
      </x:c>
      <x:c r="C13" s="10" t="str">
        <x:v>Hawaii</x:v>
      </x:c>
      <x:c r="D13" s="10" t="str">
        <x:v>West</x:v>
      </x:c>
      <x:c r="E13" s="17" t="n">
        <x:v>37000000</x:v>
      </x:c>
      <x:c r="F13" s="19" t="n">
        <x:v>1408</x:v>
      </x:c>
      <x:c r="G13" s="8" t="n">
        <x:v>0.21</x:v>
      </x:c>
      <x:c r="H13" s="21" t="n">
        <x:v>74</x:v>
      </x:c>
      <x:c r="I13" s="8" t="n">
        <x:v>0.63</x:v>
      </x:c>
      <x:c r="J13" s="8" t="n">
        <x:f>1-I13</x:f>
        <x:v>0.37</x:v>
      </x:c>
      <x:c r="K13" s="21" t="n">
        <x:f>ROUND(100*(Scoring_Weights!$B$2*(E13/MAX($E$2:$E$52))+Scoring_Weights!$B$3*(F13/MAX($F$2:$F$52))+Scoring_Weights!$B$4*(G13/MAX($G$2:$G$52))+Scoring_Weights!$B$5*(H13/100)+Scoring_Weights!$B$6*J13),0)</x:f>
        <x:v>50</x:v>
      </x:c>
      <x:c r="L13" s="10" t="str">
        <x:f>IF(K13&gt;=72,"Highest",IF(K13&gt;=60,"High",IF(K13&gt;=45,"Moderate","Low")))</x:f>
        <x:v>Moderate</x:v>
      </x:c>
      <x:c r="M13" s="23" t="str">
        <x:f>IF(K13&gt;=70,"Prioritize digital campaigns and field coverage review",IF(K13&gt;=55,"Test targeted campaigns and monitor conversion","Maintain baseline coverage and reassess quarterly"))</x:f>
        <x:v>Maintain baseline coverage and reassess quarterly</x:v>
      </x:c>
    </x:row>
    <x:row r="14">
      <x:c r="A14" s="15" t="str">
        <x:v>16</x:v>
      </x:c>
      <x:c r="B14" s="15" t="str">
        <x:v>ID</x:v>
      </x:c>
      <x:c r="C14" s="10" t="str">
        <x:v>Idaho</x:v>
      </x:c>
      <x:c r="D14" s="10" t="str">
        <x:v>West</x:v>
      </x:c>
      <x:c r="E14" s="17" t="n">
        <x:v>26000000</x:v>
      </x:c>
      <x:c r="F14" s="19" t="n">
        <x:v>3732</x:v>
      </x:c>
      <x:c r="G14" s="8" t="n">
        <x:v>0.13</x:v>
      </x:c>
      <x:c r="H14" s="21" t="n">
        <x:v>59</x:v>
      </x:c>
      <x:c r="I14" s="8" t="n">
        <x:v>0.52</x:v>
      </x:c>
      <x:c r="J14" s="8" t="n">
        <x:f>1-I14</x:f>
        <x:v>0.48</x:v>
      </x:c>
      <x:c r="K14" s="21" t="n">
        <x:f>ROUND(100*(Scoring_Weights!$B$2*(E14/MAX($E$2:$E$52))+Scoring_Weights!$B$3*(F14/MAX($F$2:$F$52))+Scoring_Weights!$B$4*(G14/MAX($G$2:$G$52))+Scoring_Weights!$B$5*(H14/100)+Scoring_Weights!$B$6*J14),0)</x:f>
        <x:v>44</x:v>
      </x:c>
      <x:c r="L14" s="10" t="str">
        <x:f>IF(K14&gt;=72,"Highest",IF(K14&gt;=60,"High",IF(K14&gt;=45,"Moderate","Low")))</x:f>
        <x:v>Low</x:v>
      </x:c>
      <x:c r="M14" s="23" t="str">
        <x:f>IF(K14&gt;=70,"Prioritize digital campaigns and field coverage review",IF(K14&gt;=55,"Test targeted campaigns and monitor conversion","Maintain baseline coverage and reassess quarterly"))</x:f>
        <x:v>Maintain baseline coverage and reassess quarterly</x:v>
      </x:c>
    </x:row>
    <x:row r="15">
      <x:c r="A15" s="15" t="str">
        <x:v>17</x:v>
      </x:c>
      <x:c r="B15" s="15" t="str">
        <x:v>IL</x:v>
      </x:c>
      <x:c r="C15" s="10" t="str">
        <x:v>Illinois</x:v>
      </x:c>
      <x:c r="D15" s="10" t="str">
        <x:v>Central</x:v>
      </x:c>
      <x:c r="E15" s="17" t="n">
        <x:v>63000000</x:v>
      </x:c>
      <x:c r="F15" s="19" t="n">
        <x:v>6450</x:v>
      </x:c>
      <x:c r="G15" s="8" t="n">
        <x:v>0.14</x:v>
      </x:c>
      <x:c r="H15" s="21" t="n">
        <x:v>80</x:v>
      </x:c>
      <x:c r="I15" s="8" t="n">
        <x:v>0.66</x:v>
      </x:c>
      <x:c r="J15" s="8" t="n">
        <x:f>1-I15</x:f>
        <x:v>0.33999999999999997</x:v>
      </x:c>
      <x:c r="K15" s="21" t="n">
        <x:f>ROUND(100*(Scoring_Weights!$B$2*(E15/MAX($E$2:$E$52))+Scoring_Weights!$B$3*(F15/MAX($F$2:$F$52))+Scoring_Weights!$B$4*(G15/MAX($G$2:$G$52))+Scoring_Weights!$B$5*(H15/100)+Scoring_Weights!$B$6*J15),0)</x:f>
        <x:v>64</x:v>
      </x:c>
      <x:c r="L15" s="10" t="str">
        <x:f>IF(K15&gt;=72,"Highest",IF(K15&gt;=60,"High",IF(K15&gt;=45,"Moderate","Low")))</x:f>
        <x:v>High</x:v>
      </x:c>
      <x:c r="M15" s="23" t="str">
        <x:f>IF(K15&gt;=70,"Prioritize digital campaigns and field coverage review",IF(K15&gt;=55,"Test targeted campaigns and monitor conversion","Maintain baseline coverage and reassess quarterly"))</x:f>
        <x:v>Test targeted campaigns and monitor conversion</x:v>
      </x:c>
    </x:row>
    <x:row r="16">
      <x:c r="A16" s="15" t="str">
        <x:v>18</x:v>
      </x:c>
      <x:c r="B16" s="15" t="str">
        <x:v>IN</x:v>
      </x:c>
      <x:c r="C16" s="10" t="str">
        <x:v>Indiana</x:v>
      </x:c>
      <x:c r="D16" s="10" t="str">
        <x:v>Central</x:v>
      </x:c>
      <x:c r="E16" s="17" t="n">
        <x:v>43000000</x:v>
      </x:c>
      <x:c r="F16" s="19" t="n">
        <x:v>4480</x:v>
      </x:c>
      <x:c r="G16" s="8" t="n">
        <x:v>0.15</x:v>
      </x:c>
      <x:c r="H16" s="21" t="n">
        <x:v>72</x:v>
      </x:c>
      <x:c r="I16" s="8" t="n">
        <x:v>0.69</x:v>
      </x:c>
      <x:c r="J16" s="8" t="n">
        <x:f>1-I16</x:f>
        <x:v>0.31000000000000005</x:v>
      </x:c>
      <x:c r="K16" s="21" t="n">
        <x:f>ROUND(100*(Scoring_Weights!$B$2*(E16/MAX($E$2:$E$52))+Scoring_Weights!$B$3*(F16/MAX($F$2:$F$52))+Scoring_Weights!$B$4*(G16/MAX($G$2:$G$52))+Scoring_Weights!$B$5*(H16/100)+Scoring_Weights!$B$6*J16),0)</x:f>
        <x:v>53</x:v>
      </x:c>
      <x:c r="L16" s="10" t="str">
        <x:f>IF(K16&gt;=72,"Highest",IF(K16&gt;=60,"High",IF(K16&gt;=45,"Moderate","Low")))</x:f>
        <x:v>Moderate</x:v>
      </x:c>
      <x:c r="M16" s="23" t="str">
        <x:f>IF(K16&gt;=70,"Prioritize digital campaigns and field coverage review",IF(K16&gt;=55,"Test targeted campaigns and monitor conversion","Maintain baseline coverage and reassess quarterly"))</x:f>
        <x:v>Maintain baseline coverage and reassess quarterly</x:v>
      </x:c>
    </x:row>
    <x:row r="17">
      <x:c r="A17" s="15" t="str">
        <x:v>19</x:v>
      </x:c>
      <x:c r="B17" s="15" t="str">
        <x:v>IA</x:v>
      </x:c>
      <x:c r="C17" s="10" t="str">
        <x:v>Iowa</x:v>
      </x:c>
      <x:c r="D17" s="10" t="str">
        <x:v>Central</x:v>
      </x:c>
      <x:c r="E17" s="17" t="n">
        <x:v>32000000</x:v>
      </x:c>
      <x:c r="F17" s="19" t="n">
        <x:v>2904</x:v>
      </x:c>
      <x:c r="G17" s="8" t="n">
        <x:v>0.07</x:v>
      </x:c>
      <x:c r="H17" s="21" t="n">
        <x:v>57</x:v>
      </x:c>
      <x:c r="I17" s="8" t="n">
        <x:v>0.58</x:v>
      </x:c>
      <x:c r="J17" s="8" t="n">
        <x:f>1-I17</x:f>
        <x:v>0.42000000000000004</x:v>
      </x:c>
      <x:c r="K17" s="21" t="n">
        <x:f>ROUND(100*(Scoring_Weights!$B$2*(E17/MAX($E$2:$E$52))+Scoring_Weights!$B$3*(F17/MAX($F$2:$F$52))+Scoring_Weights!$B$4*(G17/MAX($G$2:$G$52))+Scoring_Weights!$B$5*(H17/100)+Scoring_Weights!$B$6*J17),0)</x:f>
        <x:v>38</x:v>
      </x:c>
      <x:c r="L17" s="10" t="str">
        <x:f>IF(K17&gt;=72,"Highest",IF(K17&gt;=60,"High",IF(K17&gt;=45,"Moderate","Low")))</x:f>
        <x:v>Low</x:v>
      </x:c>
      <x:c r="M17" s="23" t="str">
        <x:f>IF(K17&gt;=70,"Prioritize digital campaigns and field coverage review",IF(K17&gt;=55,"Test targeted campaigns and monitor conversion","Maintain baseline coverage and reassess quarterly"))</x:f>
        <x:v>Maintain baseline coverage and reassess quarterly</x:v>
      </x:c>
    </x:row>
    <x:row r="18">
      <x:c r="A18" s="15" t="str">
        <x:v>20</x:v>
      </x:c>
      <x:c r="B18" s="15" t="str">
        <x:v>KS</x:v>
      </x:c>
      <x:c r="C18" s="10" t="str">
        <x:v>Kansas</x:v>
      </x:c>
      <x:c r="D18" s="10" t="str">
        <x:v>Mountain &amp; Plains</x:v>
      </x:c>
      <x:c r="E18" s="17" t="n">
        <x:v>21000000</x:v>
      </x:c>
      <x:c r="F18" s="19" t="n">
        <x:v>5228</x:v>
      </x:c>
      <x:c r="G18" s="8" t="n">
        <x:v>0.17</x:v>
      </x:c>
      <x:c r="H18" s="21" t="n">
        <x:v>42</x:v>
      </x:c>
      <x:c r="I18" s="8" t="n">
        <x:v>0.47</x:v>
      </x:c>
      <x:c r="J18" s="8" t="n">
        <x:f>1-I18</x:f>
        <x:v>0.53</x:v>
      </x:c>
      <x:c r="K18" s="21" t="n">
        <x:f>ROUND(100*(Scoring_Weights!$B$2*(E18/MAX($E$2:$E$52))+Scoring_Weights!$B$3*(F18/MAX($F$2:$F$52))+Scoring_Weights!$B$4*(G18/MAX($G$2:$G$52))+Scoring_Weights!$B$5*(H18/100)+Scoring_Weights!$B$6*J18),0)</x:f>
        <x:v>46</x:v>
      </x:c>
      <x:c r="L18" s="10" t="str">
        <x:f>IF(K18&gt;=72,"Highest",IF(K18&gt;=60,"High",IF(K18&gt;=45,"Moderate","Low")))</x:f>
        <x:v>Moderate</x:v>
      </x:c>
      <x:c r="M18" s="23" t="str">
        <x:f>IF(K18&gt;=70,"Prioritize digital campaigns and field coverage review",IF(K18&gt;=55,"Test targeted campaigns and monitor conversion","Maintain baseline coverage and reassess quarterly"))</x:f>
        <x:v>Maintain baseline coverage and reassess quarterly</x:v>
      </x:c>
    </x:row>
    <x:row r="19">
      <x:c r="A19" s="15" t="str">
        <x:v>21</x:v>
      </x:c>
      <x:c r="B19" s="15" t="str">
        <x:v>KY</x:v>
      </x:c>
      <x:c r="C19" s="10" t="str">
        <x:v>Kentucky</x:v>
      </x:c>
      <x:c r="D19" s="10" t="str">
        <x:v>Southeast</x:v>
      </x:c>
      <x:c r="E19" s="17" t="n">
        <x:v>49000000</x:v>
      </x:c>
      <x:c r="F19" s="19" t="n">
        <x:v>3652</x:v>
      </x:c>
      <x:c r="G19" s="8" t="n">
        <x:v>0.09</x:v>
      </x:c>
      <x:c r="H19" s="21" t="n">
        <x:v>70</x:v>
      </x:c>
      <x:c r="I19" s="8" t="n">
        <x:v>0.75</x:v>
      </x:c>
      <x:c r="J19" s="8" t="n">
        <x:f>1-I19</x:f>
        <x:v>0.25</x:v>
      </x:c>
      <x:c r="K19" s="21" t="n">
        <x:f>ROUND(100*(Scoring_Weights!$B$2*(E19/MAX($E$2:$E$52))+Scoring_Weights!$B$3*(F19/MAX($F$2:$F$52))+Scoring_Weights!$B$4*(G19/MAX($G$2:$G$52))+Scoring_Weights!$B$5*(H19/100)+Scoring_Weights!$B$6*J19),0)</x:f>
        <x:v>47</x:v>
      </x:c>
      <x:c r="L19" s="10" t="str">
        <x:f>IF(K19&gt;=72,"Highest",IF(K19&gt;=60,"High",IF(K19&gt;=45,"Moderate","Low")))</x:f>
        <x:v>Moderate</x:v>
      </x:c>
      <x:c r="M19" s="23" t="str">
        <x:f>IF(K19&gt;=70,"Prioritize digital campaigns and field coverage review",IF(K19&gt;=55,"Test targeted campaigns and monitor conversion","Maintain baseline coverage and reassess quarterly"))</x:f>
        <x:v>Maintain baseline coverage and reassess quarterly</x:v>
      </x:c>
    </x:row>
    <x:row r="20">
      <x:c r="A20" s="15" t="str">
        <x:v>22</x:v>
      </x:c>
      <x:c r="B20" s="15" t="str">
        <x:v>LA</x:v>
      </x:c>
      <x:c r="C20" s="10" t="str">
        <x:v>Louisiana</x:v>
      </x:c>
      <x:c r="D20" s="10" t="str">
        <x:v>Southeast</x:v>
      </x:c>
      <x:c r="E20" s="17" t="n">
        <x:v>38000000</x:v>
      </x:c>
      <x:c r="F20" s="19" t="n">
        <x:v>2076</x:v>
      </x:c>
      <x:c r="G20" s="8" t="n">
        <x:v>0.19</x:v>
      </x:c>
      <x:c r="H20" s="21" t="n">
        <x:v>55</x:v>
      </x:c>
      <x:c r="I20" s="8" t="n">
        <x:v>0.64</x:v>
      </x:c>
      <x:c r="J20" s="8" t="n">
        <x:f>1-I20</x:f>
        <x:v>0.36</x:v>
      </x:c>
      <x:c r="K20" s="21" t="n">
        <x:f>ROUND(100*(Scoring_Weights!$B$2*(E20/MAX($E$2:$E$52))+Scoring_Weights!$B$3*(F20/MAX($F$2:$F$52))+Scoring_Weights!$B$4*(G20/MAX($G$2:$G$52))+Scoring_Weights!$B$5*(H20/100)+Scoring_Weights!$B$6*J20),0)</x:f>
        <x:v>46</x:v>
      </x:c>
      <x:c r="L20" s="10" t="str">
        <x:f>IF(K20&gt;=72,"Highest",IF(K20&gt;=60,"High",IF(K20&gt;=45,"Moderate","Low")))</x:f>
        <x:v>Moderate</x:v>
      </x:c>
      <x:c r="M20" s="23" t="str">
        <x:f>IF(K20&gt;=70,"Prioritize digital campaigns and field coverage review",IF(K20&gt;=55,"Test targeted campaigns and monitor conversion","Maintain baseline coverage and reassess quarterly"))</x:f>
        <x:v>Maintain baseline coverage and reassess quarterly</x:v>
      </x:c>
    </x:row>
    <x:row r="21">
      <x:c r="A21" s="15" t="str">
        <x:v>23</x:v>
      </x:c>
      <x:c r="B21" s="15" t="str">
        <x:v>ME</x:v>
      </x:c>
      <x:c r="C21" s="10" t="str">
        <x:v>Maine</x:v>
      </x:c>
      <x:c r="D21" s="10" t="str">
        <x:v>Northeast</x:v>
      </x:c>
      <x:c r="E21" s="17" t="n">
        <x:v>27000000</x:v>
      </x:c>
      <x:c r="F21" s="19" t="n">
        <x:v>4400</x:v>
      </x:c>
      <x:c r="G21" s="8" t="n">
        <x:v>0.11</x:v>
      </x:c>
      <x:c r="H21" s="21" t="n">
        <x:v>83</x:v>
      </x:c>
      <x:c r="I21" s="8" t="n">
        <x:v>0.53</x:v>
      </x:c>
      <x:c r="J21" s="8" t="n">
        <x:f>1-I21</x:f>
        <x:v>0.47</x:v>
      </x:c>
      <x:c r="K21" s="21" t="n">
        <x:f>ROUND(100*(Scoring_Weights!$B$2*(E21/MAX($E$2:$E$52))+Scoring_Weights!$B$3*(F21/MAX($F$2:$F$52))+Scoring_Weights!$B$4*(G21/MAX($G$2:$G$52))+Scoring_Weights!$B$5*(H21/100)+Scoring_Weights!$B$6*J21),0)</x:f>
        <x:v>48</x:v>
      </x:c>
      <x:c r="L21" s="10" t="str">
        <x:f>IF(K21&gt;=72,"Highest",IF(K21&gt;=60,"High",IF(K21&gt;=45,"Moderate","Low")))</x:f>
        <x:v>Moderate</x:v>
      </x:c>
      <x:c r="M21" s="23" t="str">
        <x:f>IF(K21&gt;=70,"Prioritize digital campaigns and field coverage review",IF(K21&gt;=55,"Test targeted campaigns and monitor conversion","Maintain baseline coverage and reassess quarterly"))</x:f>
        <x:v>Maintain baseline coverage and reassess quarterly</x:v>
      </x:c>
    </x:row>
    <x:row r="22">
      <x:c r="A22" s="15" t="str">
        <x:v>24</x:v>
      </x:c>
      <x:c r="B22" s="15" t="str">
        <x:v>MD</x:v>
      </x:c>
      <x:c r="C22" s="10" t="str">
        <x:v>Maryland</x:v>
      </x:c>
      <x:c r="D22" s="10" t="str">
        <x:v>Northeast</x:v>
      </x:c>
      <x:c r="E22" s="17" t="n">
        <x:v>16000000</x:v>
      </x:c>
      <x:c r="F22" s="19" t="n">
        <x:v>2824</x:v>
      </x:c>
      <x:c r="G22" s="8" t="n">
        <x:v>0.21</x:v>
      </x:c>
      <x:c r="H22" s="21" t="n">
        <x:v>68</x:v>
      </x:c>
      <x:c r="I22" s="8" t="n">
        <x:v>0.42</x:v>
      </x:c>
      <x:c r="J22" s="8" t="n">
        <x:f>1-I22</x:f>
        <x:v>0.5800000000000001</x:v>
      </x:c>
      <x:c r="K22" s="21" t="n">
        <x:f>ROUND(100*(Scoring_Weights!$B$2*(E22/MAX($E$2:$E$52))+Scoring_Weights!$B$3*(F22/MAX($F$2:$F$52))+Scoring_Weights!$B$4*(G22/MAX($G$2:$G$52))+Scoring_Weights!$B$5*(H22/100)+Scoring_Weights!$B$6*J22),0)</x:f>
        <x:v>48</x:v>
      </x:c>
      <x:c r="L22" s="10" t="str">
        <x:f>IF(K22&gt;=72,"Highest",IF(K22&gt;=60,"High",IF(K22&gt;=45,"Moderate","Low")))</x:f>
        <x:v>Moderate</x:v>
      </x:c>
      <x:c r="M22" s="23" t="str">
        <x:f>IF(K22&gt;=70,"Prioritize digital campaigns and field coverage review",IF(K22&gt;=55,"Test targeted campaigns and monitor conversion","Maintain baseline coverage and reassess quarterly"))</x:f>
        <x:v>Maintain baseline coverage and reassess quarterly</x:v>
      </x:c>
    </x:row>
    <x:row r="23">
      <x:c r="A23" s="15" t="str">
        <x:v>25</x:v>
      </x:c>
      <x:c r="B23" s="15" t="str">
        <x:v>MA</x:v>
      </x:c>
      <x:c r="C23" s="10" t="str">
        <x:v>Massachusetts</x:v>
      </x:c>
      <x:c r="D23" s="10" t="str">
        <x:v>Northeast</x:v>
      </x:c>
      <x:c r="E23" s="17" t="n">
        <x:v>44000000</x:v>
      </x:c>
      <x:c r="F23" s="19" t="n">
        <x:v>5148</x:v>
      </x:c>
      <x:c r="G23" s="8" t="n">
        <x:v>0.13</x:v>
      </x:c>
      <x:c r="H23" s="21" t="n">
        <x:v>53</x:v>
      </x:c>
      <x:c r="I23" s="8" t="n">
        <x:v>0.7</x:v>
      </x:c>
      <x:c r="J23" s="8" t="n">
        <x:f>1-I23</x:f>
        <x:v>0.30000000000000004</x:v>
      </x:c>
      <x:c r="K23" s="21" t="n">
        <x:f>ROUND(100*(Scoring_Weights!$B$2*(E23/MAX($E$2:$E$52))+Scoring_Weights!$B$3*(F23/MAX($F$2:$F$52))+Scoring_Weights!$B$4*(G23/MAX($G$2:$G$52))+Scoring_Weights!$B$5*(H23/100)+Scoring_Weights!$B$6*J23),0)</x:f>
        <x:v>49</x:v>
      </x:c>
      <x:c r="L23" s="10" t="str">
        <x:f>IF(K23&gt;=72,"Highest",IF(K23&gt;=60,"High",IF(K23&gt;=45,"Moderate","Low")))</x:f>
        <x:v>Moderate</x:v>
      </x:c>
      <x:c r="M23" s="23" t="str">
        <x:f>IF(K23&gt;=70,"Prioritize digital campaigns and field coverage review",IF(K23&gt;=55,"Test targeted campaigns and monitor conversion","Maintain baseline coverage and reassess quarterly"))</x:f>
        <x:v>Maintain baseline coverage and reassess quarterly</x:v>
      </x:c>
    </x:row>
    <x:row r="24">
      <x:c r="A24" s="15" t="str">
        <x:v>26</x:v>
      </x:c>
      <x:c r="B24" s="15" t="str">
        <x:v>MI</x:v>
      </x:c>
      <x:c r="C24" s="10" t="str">
        <x:v>Michigan</x:v>
      </x:c>
      <x:c r="D24" s="10" t="str">
        <x:v>Central</x:v>
      </x:c>
      <x:c r="E24" s="17" t="n">
        <x:v>33000000</x:v>
      </x:c>
      <x:c r="F24" s="19" t="n">
        <x:v>3572</x:v>
      </x:c>
      <x:c r="G24" s="8" t="n">
        <x:v>0.05</x:v>
      </x:c>
      <x:c r="H24" s="21" t="n">
        <x:v>81</x:v>
      </x:c>
      <x:c r="I24" s="8" t="n">
        <x:v>0.59</x:v>
      </x:c>
      <x:c r="J24" s="8" t="n">
        <x:f>1-I24</x:f>
        <x:v>0.41000000000000003</x:v>
      </x:c>
      <x:c r="K24" s="21" t="n">
        <x:f>ROUND(100*(Scoring_Weights!$B$2*(E24/MAX($E$2:$E$52))+Scoring_Weights!$B$3*(F24/MAX($F$2:$F$52))+Scoring_Weights!$B$4*(G24/MAX($G$2:$G$52))+Scoring_Weights!$B$5*(H24/100)+Scoring_Weights!$B$6*J24),0)</x:f>
        <x:v>43</x:v>
      </x:c>
      <x:c r="L24" s="10" t="str">
        <x:f>IF(K24&gt;=72,"Highest",IF(K24&gt;=60,"High",IF(K24&gt;=45,"Moderate","Low")))</x:f>
        <x:v>Low</x:v>
      </x:c>
      <x:c r="M24" s="23" t="str">
        <x:f>IF(K24&gt;=70,"Prioritize digital campaigns and field coverage review",IF(K24&gt;=55,"Test targeted campaigns and monitor conversion","Maintain baseline coverage and reassess quarterly"))</x:f>
        <x:v>Maintain baseline coverage and reassess quarterly</x:v>
      </x:c>
    </x:row>
    <x:row r="25">
      <x:c r="A25" s="15" t="str">
        <x:v>27</x:v>
      </x:c>
      <x:c r="B25" s="15" t="str">
        <x:v>MN</x:v>
      </x:c>
      <x:c r="C25" s="10" t="str">
        <x:v>Minnesota</x:v>
      </x:c>
      <x:c r="D25" s="10" t="str">
        <x:v>Central</x:v>
      </x:c>
      <x:c r="E25" s="17" t="n">
        <x:v>22000000</x:v>
      </x:c>
      <x:c r="F25" s="19" t="n">
        <x:v>1996</x:v>
      </x:c>
      <x:c r="G25" s="8" t="n">
        <x:v>0.15</x:v>
      </x:c>
      <x:c r="H25" s="21" t="n">
        <x:v>66</x:v>
      </x:c>
      <x:c r="I25" s="8" t="n">
        <x:v>0.48</x:v>
      </x:c>
      <x:c r="J25" s="8" t="n">
        <x:f>1-I25</x:f>
        <x:v>0.52</x:v>
      </x:c>
      <x:c r="K25" s="21" t="n">
        <x:f>ROUND(100*(Scoring_Weights!$B$2*(E25/MAX($E$2:$E$52))+Scoring_Weights!$B$3*(F25/MAX($F$2:$F$52))+Scoring_Weights!$B$4*(G25/MAX($G$2:$G$52))+Scoring_Weights!$B$5*(H25/100)+Scoring_Weights!$B$6*J25),0)</x:f>
        <x:v>42</x:v>
      </x:c>
      <x:c r="L25" s="10" t="str">
        <x:f>IF(K25&gt;=72,"Highest",IF(K25&gt;=60,"High",IF(K25&gt;=45,"Moderate","Low")))</x:f>
        <x:v>Low</x:v>
      </x:c>
      <x:c r="M25" s="23" t="str">
        <x:f>IF(K25&gt;=70,"Prioritize digital campaigns and field coverage review",IF(K25&gt;=55,"Test targeted campaigns and monitor conversion","Maintain baseline coverage and reassess quarterly"))</x:f>
        <x:v>Maintain baseline coverage and reassess quarterly</x:v>
      </x:c>
    </x:row>
    <x:row r="26">
      <x:c r="A26" s="15" t="str">
        <x:v>28</x:v>
      </x:c>
      <x:c r="B26" s="15" t="str">
        <x:v>MS</x:v>
      </x:c>
      <x:c r="C26" s="10" t="str">
        <x:v>Mississippi</x:v>
      </x:c>
      <x:c r="D26" s="10" t="str">
        <x:v>Southeast</x:v>
      </x:c>
      <x:c r="E26" s="17" t="n">
        <x:v>50000000</x:v>
      </x:c>
      <x:c r="F26" s="19" t="n">
        <x:v>4320</x:v>
      </x:c>
      <x:c r="G26" s="8" t="n">
        <x:v>0.07</x:v>
      </x:c>
      <x:c r="H26" s="21" t="n">
        <x:v>51</x:v>
      </x:c>
      <x:c r="I26" s="8" t="n">
        <x:v>0.76</x:v>
      </x:c>
      <x:c r="J26" s="8" t="n">
        <x:f>1-I26</x:f>
        <x:v>0.24</x:v>
      </x:c>
      <x:c r="K26" s="21" t="n">
        <x:f>ROUND(100*(Scoring_Weights!$B$2*(E26/MAX($E$2:$E$52))+Scoring_Weights!$B$3*(F26/MAX($F$2:$F$52))+Scoring_Weights!$B$4*(G26/MAX($G$2:$G$52))+Scoring_Weights!$B$5*(H26/100)+Scoring_Weights!$B$6*J26),0)</x:f>
        <x:v>43</x:v>
      </x:c>
      <x:c r="L26" s="10" t="str">
        <x:f>IF(K26&gt;=72,"Highest",IF(K26&gt;=60,"High",IF(K26&gt;=45,"Moderate","Low")))</x:f>
        <x:v>Low</x:v>
      </x:c>
      <x:c r="M26" s="23" t="str">
        <x:f>IF(K26&gt;=70,"Prioritize digital campaigns and field coverage review",IF(K26&gt;=55,"Test targeted campaigns and monitor conversion","Maintain baseline coverage and reassess quarterly"))</x:f>
        <x:v>Maintain baseline coverage and reassess quarterly</x:v>
      </x:c>
    </x:row>
    <x:row r="27">
      <x:c r="A27" s="15" t="str">
        <x:v>29</x:v>
      </x:c>
      <x:c r="B27" s="15" t="str">
        <x:v>MO</x:v>
      </x:c>
      <x:c r="C27" s="10" t="str">
        <x:v>Missouri</x:v>
      </x:c>
      <x:c r="D27" s="10" t="str">
        <x:v>Central</x:v>
      </x:c>
      <x:c r="E27" s="17" t="n">
        <x:v>39000000</x:v>
      </x:c>
      <x:c r="F27" s="19" t="n">
        <x:v>2744</x:v>
      </x:c>
      <x:c r="G27" s="8" t="n">
        <x:v>0.17</x:v>
      </x:c>
      <x:c r="H27" s="21" t="n">
        <x:v>79</x:v>
      </x:c>
      <x:c r="I27" s="8" t="n">
        <x:v>0.65</x:v>
      </x:c>
      <x:c r="J27" s="8" t="n">
        <x:f>1-I27</x:f>
        <x:v>0.35</x:v>
      </x:c>
      <x:c r="K27" s="21" t="n">
        <x:f>ROUND(100*(Scoring_Weights!$B$2*(E27/MAX($E$2:$E$52))+Scoring_Weights!$B$3*(F27/MAX($F$2:$F$52))+Scoring_Weights!$B$4*(G27/MAX($G$2:$G$52))+Scoring_Weights!$B$5*(H27/100)+Scoring_Weights!$B$6*J27),0)</x:f>
        <x:v>51</x:v>
      </x:c>
      <x:c r="L27" s="10" t="str">
        <x:f>IF(K27&gt;=72,"Highest",IF(K27&gt;=60,"High",IF(K27&gt;=45,"Moderate","Low")))</x:f>
        <x:v>Moderate</x:v>
      </x:c>
      <x:c r="M27" s="23" t="str">
        <x:f>IF(K27&gt;=70,"Prioritize digital campaigns and field coverage review",IF(K27&gt;=55,"Test targeted campaigns and monitor conversion","Maintain baseline coverage and reassess quarterly"))</x:f>
        <x:v>Maintain baseline coverage and reassess quarterly</x:v>
      </x:c>
    </x:row>
    <x:row r="28">
      <x:c r="A28" s="15" t="str">
        <x:v>30</x:v>
      </x:c>
      <x:c r="B28" s="15" t="str">
        <x:v>MT</x:v>
      </x:c>
      <x:c r="C28" s="10" t="str">
        <x:v>Montana</x:v>
      </x:c>
      <x:c r="D28" s="10" t="str">
        <x:v>West</x:v>
      </x:c>
      <x:c r="E28" s="17" t="n">
        <x:v>28000000</x:v>
      </x:c>
      <x:c r="F28" s="19" t="n">
        <x:v>5068</x:v>
      </x:c>
      <x:c r="G28" s="8" t="n">
        <x:v>0.09</x:v>
      </x:c>
      <x:c r="H28" s="21" t="n">
        <x:v>64</x:v>
      </x:c>
      <x:c r="I28" s="8" t="n">
        <x:v>0.54</x:v>
      </x:c>
      <x:c r="J28" s="8" t="n">
        <x:f>1-I28</x:f>
        <x:v>0.45999999999999996</x:v>
      </x:c>
      <x:c r="K28" s="21" t="n">
        <x:f>ROUND(100*(Scoring_Weights!$B$2*(E28/MAX($E$2:$E$52))+Scoring_Weights!$B$3*(F28/MAX($F$2:$F$52))+Scoring_Weights!$B$4*(G28/MAX($G$2:$G$52))+Scoring_Weights!$B$5*(H28/100)+Scoring_Weights!$B$6*J28),0)</x:f>
        <x:v>45</x:v>
      </x:c>
      <x:c r="L28" s="10" t="str">
        <x:f>IF(K28&gt;=72,"Highest",IF(K28&gt;=60,"High",IF(K28&gt;=45,"Moderate","Low")))</x:f>
        <x:v>Moderate</x:v>
      </x:c>
      <x:c r="M28" s="23" t="str">
        <x:f>IF(K28&gt;=70,"Prioritize digital campaigns and field coverage review",IF(K28&gt;=55,"Test targeted campaigns and monitor conversion","Maintain baseline coverage and reassess quarterly"))</x:f>
        <x:v>Maintain baseline coverage and reassess quarterly</x:v>
      </x:c>
    </x:row>
    <x:row r="29">
      <x:c r="A29" s="15" t="str">
        <x:v>31</x:v>
      </x:c>
      <x:c r="B29" s="15" t="str">
        <x:v>NE</x:v>
      </x:c>
      <x:c r="C29" s="10" t="str">
        <x:v>Nebraska</x:v>
      </x:c>
      <x:c r="D29" s="10" t="str">
        <x:v>Mountain &amp; Plains</x:v>
      </x:c>
      <x:c r="E29" s="17" t="n">
        <x:v>17000000</x:v>
      </x:c>
      <x:c r="F29" s="19" t="n">
        <x:v>3492</x:v>
      </x:c>
      <x:c r="G29" s="8" t="n">
        <x:v>0.19</x:v>
      </x:c>
      <x:c r="H29" s="21" t="n">
        <x:v>49</x:v>
      </x:c>
      <x:c r="I29" s="8" t="n">
        <x:v>0.43</x:v>
      </x:c>
      <x:c r="J29" s="8" t="n">
        <x:f>1-I29</x:f>
        <x:v>0.5700000000000001</x:v>
      </x:c>
      <x:c r="K29" s="21" t="n">
        <x:f>ROUND(100*(Scoring_Weights!$B$2*(E29/MAX($E$2:$E$52))+Scoring_Weights!$B$3*(F29/MAX($F$2:$F$52))+Scoring_Weights!$B$4*(G29/MAX($G$2:$G$52))+Scoring_Weights!$B$5*(H29/100)+Scoring_Weights!$B$6*J29),0)</x:f>
        <x:v>44</x:v>
      </x:c>
      <x:c r="L29" s="10" t="str">
        <x:f>IF(K29&gt;=72,"Highest",IF(K29&gt;=60,"High",IF(K29&gt;=45,"Moderate","Low")))</x:f>
        <x:v>Low</x:v>
      </x:c>
      <x:c r="M29" s="23" t="str">
        <x:f>IF(K29&gt;=70,"Prioritize digital campaigns and field coverage review",IF(K29&gt;=55,"Test targeted campaigns and monitor conversion","Maintain baseline coverage and reassess quarterly"))</x:f>
        <x:v>Maintain baseline coverage and reassess quarterly</x:v>
      </x:c>
    </x:row>
    <x:row r="30">
      <x:c r="A30" s="15" t="str">
        <x:v>32</x:v>
      </x:c>
      <x:c r="B30" s="15" t="str">
        <x:v>NV</x:v>
      </x:c>
      <x:c r="C30" s="10" t="str">
        <x:v>Nevada</x:v>
      </x:c>
      <x:c r="D30" s="10" t="str">
        <x:v>West</x:v>
      </x:c>
      <x:c r="E30" s="17" t="n">
        <x:v>45000000</x:v>
      </x:c>
      <x:c r="F30" s="19" t="n">
        <x:v>1916</x:v>
      </x:c>
      <x:c r="G30" s="8" t="n">
        <x:v>0.11</x:v>
      </x:c>
      <x:c r="H30" s="21" t="n">
        <x:v>77</x:v>
      </x:c>
      <x:c r="I30" s="8" t="n">
        <x:v>0.71</x:v>
      </x:c>
      <x:c r="J30" s="8" t="n">
        <x:f>1-I30</x:f>
        <x:v>0.29000000000000004</x:v>
      </x:c>
      <x:c r="K30" s="21" t="n">
        <x:f>ROUND(100*(Scoring_Weights!$B$2*(E30/MAX($E$2:$E$52))+Scoring_Weights!$B$3*(F30/MAX($F$2:$F$52))+Scoring_Weights!$B$4*(G30/MAX($G$2:$G$52))+Scoring_Weights!$B$5*(H30/100)+Scoring_Weights!$B$6*J30),0)</x:f>
        <x:v>45</x:v>
      </x:c>
      <x:c r="L30" s="10" t="str">
        <x:f>IF(K30&gt;=72,"Highest",IF(K30&gt;=60,"High",IF(K30&gt;=45,"Moderate","Low")))</x:f>
        <x:v>Moderate</x:v>
      </x:c>
      <x:c r="M30" s="23" t="str">
        <x:f>IF(K30&gt;=70,"Prioritize digital campaigns and field coverage review",IF(K30&gt;=55,"Test targeted campaigns and monitor conversion","Maintain baseline coverage and reassess quarterly"))</x:f>
        <x:v>Maintain baseline coverage and reassess quarterly</x:v>
      </x:c>
    </x:row>
    <x:row r="31">
      <x:c r="A31" s="15" t="str">
        <x:v>33</x:v>
      </x:c>
      <x:c r="B31" s="15" t="str">
        <x:v>NH</x:v>
      </x:c>
      <x:c r="C31" s="10" t="str">
        <x:v>New Hampshire</x:v>
      </x:c>
      <x:c r="D31" s="10" t="str">
        <x:v>Northeast</x:v>
      </x:c>
      <x:c r="E31" s="17" t="n">
        <x:v>34000000</x:v>
      </x:c>
      <x:c r="F31" s="19" t="n">
        <x:v>4240</x:v>
      </x:c>
      <x:c r="G31" s="8" t="n">
        <x:v>0.21</x:v>
      </x:c>
      <x:c r="H31" s="21" t="n">
        <x:v>62</x:v>
      </x:c>
      <x:c r="I31" s="8" t="n">
        <x:v>0.6</x:v>
      </x:c>
      <x:c r="J31" s="8" t="n">
        <x:f>1-I31</x:f>
        <x:v>0.4</x:v>
      </x:c>
      <x:c r="K31" s="21" t="n">
        <x:f>ROUND(100*(Scoring_Weights!$B$2*(E31/MAX($E$2:$E$52))+Scoring_Weights!$B$3*(F31/MAX($F$2:$F$52))+Scoring_Weights!$B$4*(G31/MAX($G$2:$G$52))+Scoring_Weights!$B$5*(H31/100)+Scoring_Weights!$B$6*J31),0)</x:f>
        <x:v>53</x:v>
      </x:c>
      <x:c r="L31" s="10" t="str">
        <x:f>IF(K31&gt;=72,"Highest",IF(K31&gt;=60,"High",IF(K31&gt;=45,"Moderate","Low")))</x:f>
        <x:v>Moderate</x:v>
      </x:c>
      <x:c r="M31" s="23" t="str">
        <x:f>IF(K31&gt;=70,"Prioritize digital campaigns and field coverage review",IF(K31&gt;=55,"Test targeted campaigns and monitor conversion","Maintain baseline coverage and reassess quarterly"))</x:f>
        <x:v>Maintain baseline coverage and reassess quarterly</x:v>
      </x:c>
    </x:row>
    <x:row r="32">
      <x:c r="A32" s="15" t="str">
        <x:v>34</x:v>
      </x:c>
      <x:c r="B32" s="15" t="str">
        <x:v>NJ</x:v>
      </x:c>
      <x:c r="C32" s="10" t="str">
        <x:v>New Jersey</x:v>
      </x:c>
      <x:c r="D32" s="10" t="str">
        <x:v>Northeast</x:v>
      </x:c>
      <x:c r="E32" s="17" t="n">
        <x:v>23000000</x:v>
      </x:c>
      <x:c r="F32" s="19" t="n">
        <x:v>2664</x:v>
      </x:c>
      <x:c r="G32" s="8" t="n">
        <x:v>0.13</x:v>
      </x:c>
      <x:c r="H32" s="21" t="n">
        <x:v>47</x:v>
      </x:c>
      <x:c r="I32" s="8" t="n">
        <x:v>0.49</x:v>
      </x:c>
      <x:c r="J32" s="8" t="n">
        <x:f>1-I32</x:f>
        <x:v>0.51</x:v>
      </x:c>
      <x:c r="K32" s="21" t="n">
        <x:f>ROUND(100*(Scoring_Weights!$B$2*(E32/MAX($E$2:$E$52))+Scoring_Weights!$B$3*(F32/MAX($F$2:$F$52))+Scoring_Weights!$B$4*(G32/MAX($G$2:$G$52))+Scoring_Weights!$B$5*(H32/100)+Scoring_Weights!$B$6*J32),0)</x:f>
        <x:v>38</x:v>
      </x:c>
      <x:c r="L32" s="10" t="str">
        <x:f>IF(K32&gt;=72,"Highest",IF(K32&gt;=60,"High",IF(K32&gt;=45,"Moderate","Low")))</x:f>
        <x:v>Low</x:v>
      </x:c>
      <x:c r="M32" s="23" t="str">
        <x:f>IF(K32&gt;=70,"Prioritize digital campaigns and field coverage review",IF(K32&gt;=55,"Test targeted campaigns and monitor conversion","Maintain baseline coverage and reassess quarterly"))</x:f>
        <x:v>Maintain baseline coverage and reassess quarterly</x:v>
      </x:c>
    </x:row>
    <x:row r="33">
      <x:c r="A33" s="15" t="str">
        <x:v>35</x:v>
      </x:c>
      <x:c r="B33" s="15" t="str">
        <x:v>NM</x:v>
      </x:c>
      <x:c r="C33" s="10" t="str">
        <x:v>New Mexico</x:v>
      </x:c>
      <x:c r="D33" s="10" t="str">
        <x:v>Mountain &amp; Plains</x:v>
      </x:c>
      <x:c r="E33" s="17" t="n">
        <x:v>12000000</x:v>
      </x:c>
      <x:c r="F33" s="19" t="n">
        <x:v>4988</x:v>
      </x:c>
      <x:c r="G33" s="8" t="n">
        <x:v>0.05</x:v>
      </x:c>
      <x:c r="H33" s="21" t="n">
        <x:v>75</x:v>
      </x:c>
      <x:c r="I33" s="8" t="n">
        <x:v>0.38</x:v>
      </x:c>
      <x:c r="J33" s="8" t="n">
        <x:f>1-I33</x:f>
        <x:v>0.62</x:v>
      </x:c>
      <x:c r="K33" s="21" t="n">
        <x:f>ROUND(100*(Scoring_Weights!$B$2*(E33/MAX($E$2:$E$52))+Scoring_Weights!$B$3*(F33/MAX($F$2:$F$52))+Scoring_Weights!$B$4*(G33/MAX($G$2:$G$52))+Scoring_Weights!$B$5*(H33/100)+Scoring_Weights!$B$6*J33),0)</x:f>
        <x:v>40</x:v>
      </x:c>
      <x:c r="L33" s="10" t="str">
        <x:f>IF(K33&gt;=72,"Highest",IF(K33&gt;=60,"High",IF(K33&gt;=45,"Moderate","Low")))</x:f>
        <x:v>Low</x:v>
      </x:c>
      <x:c r="M33" s="23" t="str">
        <x:f>IF(K33&gt;=70,"Prioritize digital campaigns and field coverage review",IF(K33&gt;=55,"Test targeted campaigns and monitor conversion","Maintain baseline coverage and reassess quarterly"))</x:f>
        <x:v>Maintain baseline coverage and reassess quarterly</x:v>
      </x:c>
    </x:row>
    <x:row r="34">
      <x:c r="A34" s="15" t="str">
        <x:v>36</x:v>
      </x:c>
      <x:c r="B34" s="15" t="str">
        <x:v>NY</x:v>
      </x:c>
      <x:c r="C34" s="10" t="str">
        <x:v>New York</x:v>
      </x:c>
      <x:c r="D34" s="10" t="str">
        <x:v>Northeast</x:v>
      </x:c>
      <x:c r="E34" s="17" t="n">
        <x:v>79000000</x:v>
      </x:c>
      <x:c r="F34" s="19" t="n">
        <x:v>7900</x:v>
      </x:c>
      <x:c r="G34" s="8" t="n">
        <x:v>0.12</x:v>
      </x:c>
      <x:c r="H34" s="21" t="n">
        <x:v>90</x:v>
      </x:c>
      <x:c r="I34" s="8" t="n">
        <x:v>0.74</x:v>
      </x:c>
      <x:c r="J34" s="8" t="n">
        <x:f>1-I34</x:f>
        <x:v>0.26</x:v>
      </x:c>
      <x:c r="K34" s="21" t="n">
        <x:f>ROUND(100*(Scoring_Weights!$B$2*(E34/MAX($E$2:$E$52))+Scoring_Weights!$B$3*(F34/MAX($F$2:$F$52))+Scoring_Weights!$B$4*(G34/MAX($G$2:$G$52))+Scoring_Weights!$B$5*(H34/100)+Scoring_Weights!$B$6*J34),0)</x:f>
        <x:v>71</x:v>
      </x:c>
      <x:c r="L34" s="10" t="str">
        <x:f>IF(K34&gt;=72,"Highest",IF(K34&gt;=60,"High",IF(K34&gt;=45,"Moderate","Low")))</x:f>
        <x:v>High</x:v>
      </x:c>
      <x:c r="M34" s="23" t="str">
        <x:f>IF(K34&gt;=70,"Prioritize digital campaigns and field coverage review",IF(K34&gt;=55,"Test targeted campaigns and monitor conversion","Maintain baseline coverage and reassess quarterly"))</x:f>
        <x:v>Prioritize digital campaigns and field coverage review</x:v>
      </x:c>
    </x:row>
    <x:row r="35">
      <x:c r="A35" s="15" t="str">
        <x:v>37</x:v>
      </x:c>
      <x:c r="B35" s="15" t="str">
        <x:v>NC</x:v>
      </x:c>
      <x:c r="C35" s="10" t="str">
        <x:v>North Carolina</x:v>
      </x:c>
      <x:c r="D35" s="10" t="str">
        <x:v>Southeast</x:v>
      </x:c>
      <x:c r="E35" s="17" t="n">
        <x:v>49000000</x:v>
      </x:c>
      <x:c r="F35" s="19" t="n">
        <x:v>5310</x:v>
      </x:c>
      <x:c r="G35" s="8" t="n">
        <x:v>0.22</x:v>
      </x:c>
      <x:c r="H35" s="21" t="n">
        <x:v>84</x:v>
      </x:c>
      <x:c r="I35" s="8" t="n">
        <x:v>0.52</x:v>
      </x:c>
      <x:c r="J35" s="8" t="n">
        <x:f>1-I35</x:f>
        <x:v>0.48</x:v>
      </x:c>
      <x:c r="K35" s="21" t="n">
        <x:f>ROUND(100*(Scoring_Weights!$B$2*(E35/MAX($E$2:$E$52))+Scoring_Weights!$B$3*(F35/MAX($F$2:$F$52))+Scoring_Weights!$B$4*(G35/MAX($G$2:$G$52))+Scoring_Weights!$B$5*(H35/100)+Scoring_Weights!$B$6*J35),0)</x:f>
        <x:v>66</x:v>
      </x:c>
      <x:c r="L35" s="10" t="str">
        <x:f>IF(K35&gt;=72,"Highest",IF(K35&gt;=60,"High",IF(K35&gt;=45,"Moderate","Low")))</x:f>
        <x:v>High</x:v>
      </x:c>
      <x:c r="M35" s="23" t="str">
        <x:f>IF(K35&gt;=70,"Prioritize digital campaigns and field coverage review",IF(K35&gt;=55,"Test targeted campaigns and monitor conversion","Maintain baseline coverage and reassess quarterly"))</x:f>
        <x:v>Test targeted campaigns and monitor conversion</x:v>
      </x:c>
    </x:row>
    <x:row r="36">
      <x:c r="A36" s="15" t="str">
        <x:v>38</x:v>
      </x:c>
      <x:c r="B36" s="15" t="str">
        <x:v>ND</x:v>
      </x:c>
      <x:c r="C36" s="10" t="str">
        <x:v>North Dakota</x:v>
      </x:c>
      <x:c r="D36" s="10" t="str">
        <x:v>Mountain &amp; Plains</x:v>
      </x:c>
      <x:c r="E36" s="17" t="n">
        <x:v>18000000</x:v>
      </x:c>
      <x:c r="F36" s="19" t="n">
        <x:v>4160</x:v>
      </x:c>
      <x:c r="G36" s="8" t="n">
        <x:v>0.17</x:v>
      </x:c>
      <x:c r="H36" s="21" t="n">
        <x:v>73</x:v>
      </x:c>
      <x:c r="I36" s="8" t="n">
        <x:v>0.44</x:v>
      </x:c>
      <x:c r="J36" s="8" t="n">
        <x:f>1-I36</x:f>
        <x:v>0.56</x:v>
      </x:c>
      <x:c r="K36" s="21" t="n">
        <x:f>ROUND(100*(Scoring_Weights!$B$2*(E36/MAX($E$2:$E$52))+Scoring_Weights!$B$3*(F36/MAX($F$2:$F$52))+Scoring_Weights!$B$4*(G36/MAX($G$2:$G$52))+Scoring_Weights!$B$5*(H36/100)+Scoring_Weights!$B$6*J36),0)</x:f>
        <x:v>49</x:v>
      </x:c>
      <x:c r="L36" s="10" t="str">
        <x:f>IF(K36&gt;=72,"Highest",IF(K36&gt;=60,"High",IF(K36&gt;=45,"Moderate","Low")))</x:f>
        <x:v>Moderate</x:v>
      </x:c>
      <x:c r="M36" s="23" t="str">
        <x:f>IF(K36&gt;=70,"Prioritize digital campaigns and field coverage review",IF(K36&gt;=55,"Test targeted campaigns and monitor conversion","Maintain baseline coverage and reassess quarterly"))</x:f>
        <x:v>Maintain baseline coverage and reassess quarterly</x:v>
      </x:c>
    </x:row>
    <x:row r="37">
      <x:c r="A37" s="15" t="str">
        <x:v>39</x:v>
      </x:c>
      <x:c r="B37" s="15" t="str">
        <x:v>OH</x:v>
      </x:c>
      <x:c r="C37" s="10" t="str">
        <x:v>Ohio</x:v>
      </x:c>
      <x:c r="D37" s="10" t="str">
        <x:v>Central</x:v>
      </x:c>
      <x:c r="E37" s="17" t="n">
        <x:v>47000000</x:v>
      </x:c>
      <x:c r="F37" s="19" t="n">
        <x:v>5120</x:v>
      </x:c>
      <x:c r="G37" s="8" t="n">
        <x:v>0.15</x:v>
      </x:c>
      <x:c r="H37" s="21" t="n">
        <x:v>75</x:v>
      </x:c>
      <x:c r="I37" s="8" t="n">
        <x:v>0.57</x:v>
      </x:c>
      <x:c r="J37" s="8" t="n">
        <x:f>1-I37</x:f>
        <x:v>0.43000000000000005</x:v>
      </x:c>
      <x:c r="K37" s="21" t="n">
        <x:f>ROUND(100*(Scoring_Weights!$B$2*(E37/MAX($E$2:$E$52))+Scoring_Weights!$B$3*(F37/MAX($F$2:$F$52))+Scoring_Weights!$B$4*(G37/MAX($G$2:$G$52))+Scoring_Weights!$B$5*(H37/100)+Scoring_Weights!$B$6*J37),0)</x:f>
        <x:v>57</x:v>
      </x:c>
      <x:c r="L37" s="10" t="str">
        <x:f>IF(K37&gt;=72,"Highest",IF(K37&gt;=60,"High",IF(K37&gt;=45,"Moderate","Low")))</x:f>
        <x:v>Moderate</x:v>
      </x:c>
      <x:c r="M37" s="23" t="str">
        <x:f>IF(K37&gt;=70,"Prioritize digital campaigns and field coverage review",IF(K37&gt;=55,"Test targeted campaigns and monitor conversion","Maintain baseline coverage and reassess quarterly"))</x:f>
        <x:v>Test targeted campaigns and monitor conversion</x:v>
      </x:c>
    </x:row>
    <x:row r="38">
      <x:c r="A38" s="15" t="str">
        <x:v>40</x:v>
      </x:c>
      <x:c r="B38" s="15" t="str">
        <x:v>OK</x:v>
      </x:c>
      <x:c r="C38" s="10" t="str">
        <x:v>Oklahoma</x:v>
      </x:c>
      <x:c r="D38" s="10" t="str">
        <x:v>Southeast</x:v>
      </x:c>
      <x:c r="E38" s="17" t="n">
        <x:v>35000000</x:v>
      </x:c>
      <x:c r="F38" s="19" t="n">
        <x:v>4908</x:v>
      </x:c>
      <x:c r="G38" s="8" t="n">
        <x:v>0.19</x:v>
      </x:c>
      <x:c r="H38" s="21" t="n">
        <x:v>43</x:v>
      </x:c>
      <x:c r="I38" s="8" t="n">
        <x:v>0.61</x:v>
      </x:c>
      <x:c r="J38" s="8" t="n">
        <x:f>1-I38</x:f>
        <x:v>0.39</x:v>
      </x:c>
      <x:c r="K38" s="21" t="n">
        <x:f>ROUND(100*(Scoring_Weights!$B$2*(E38/MAX($E$2:$E$52))+Scoring_Weights!$B$3*(F38/MAX($F$2:$F$52))+Scoring_Weights!$B$4*(G38/MAX($G$2:$G$52))+Scoring_Weights!$B$5*(H38/100)+Scoring_Weights!$B$6*J38),0)</x:f>
        <x:v>49</x:v>
      </x:c>
      <x:c r="L38" s="10" t="str">
        <x:f>IF(K38&gt;=72,"Highest",IF(K38&gt;=60,"High",IF(K38&gt;=45,"Moderate","Low")))</x:f>
        <x:v>Moderate</x:v>
      </x:c>
      <x:c r="M38" s="23" t="str">
        <x:f>IF(K38&gt;=70,"Prioritize digital campaigns and field coverage review",IF(K38&gt;=55,"Test targeted campaigns and monitor conversion","Maintain baseline coverage and reassess quarterly"))</x:f>
        <x:v>Maintain baseline coverage and reassess quarterly</x:v>
      </x:c>
    </x:row>
    <x:row r="39">
      <x:c r="A39" s="15" t="str">
        <x:v>41</x:v>
      </x:c>
      <x:c r="B39" s="15" t="str">
        <x:v>OR</x:v>
      </x:c>
      <x:c r="C39" s="10" t="str">
        <x:v>Oregon</x:v>
      </x:c>
      <x:c r="D39" s="10" t="str">
        <x:v>West</x:v>
      </x:c>
      <x:c r="E39" s="17" t="n">
        <x:v>24000000</x:v>
      </x:c>
      <x:c r="F39" s="19" t="n">
        <x:v>3332</x:v>
      </x:c>
      <x:c r="G39" s="8" t="n">
        <x:v>0.11</x:v>
      </x:c>
      <x:c r="H39" s="21" t="n">
        <x:v>71</x:v>
      </x:c>
      <x:c r="I39" s="8" t="n">
        <x:v>0.5</x:v>
      </x:c>
      <x:c r="J39" s="8" t="n">
        <x:f>1-I39</x:f>
        <x:v>0.5</x:v>
      </x:c>
      <x:c r="K39" s="21" t="n">
        <x:f>ROUND(100*(Scoring_Weights!$B$2*(E39/MAX($E$2:$E$52))+Scoring_Weights!$B$3*(F39/MAX($F$2:$F$52))+Scoring_Weights!$B$4*(G39/MAX($G$2:$G$52))+Scoring_Weights!$B$5*(H39/100)+Scoring_Weights!$B$6*J39),0)</x:f>
        <x:v>43</x:v>
      </x:c>
      <x:c r="L39" s="10" t="str">
        <x:f>IF(K39&gt;=72,"Highest",IF(K39&gt;=60,"High",IF(K39&gt;=45,"Moderate","Low")))</x:f>
        <x:v>Low</x:v>
      </x:c>
      <x:c r="M39" s="23" t="str">
        <x:f>IF(K39&gt;=70,"Prioritize digital campaigns and field coverage review",IF(K39&gt;=55,"Test targeted campaigns and monitor conversion","Maintain baseline coverage and reassess quarterly"))</x:f>
        <x:v>Maintain baseline coverage and reassess quarterly</x:v>
      </x:c>
    </x:row>
    <x:row r="40">
      <x:c r="A40" s="15" t="str">
        <x:v>42</x:v>
      </x:c>
      <x:c r="B40" s="15" t="str">
        <x:v>PA</x:v>
      </x:c>
      <x:c r="C40" s="10" t="str">
        <x:v>Pennsylvania</x:v>
      </x:c>
      <x:c r="D40" s="10" t="str">
        <x:v>Northeast</x:v>
      </x:c>
      <x:c r="E40" s="17" t="n">
        <x:v>58000000</x:v>
      </x:c>
      <x:c r="F40" s="19" t="n">
        <x:v>5980</x:v>
      </x:c>
      <x:c r="G40" s="8" t="n">
        <x:v>0.16</x:v>
      </x:c>
      <x:c r="H40" s="21" t="n">
        <x:v>82</x:v>
      </x:c>
      <x:c r="I40" s="8" t="n">
        <x:v>0.61</x:v>
      </x:c>
      <x:c r="J40" s="8" t="n">
        <x:f>1-I40</x:f>
        <x:v>0.39</x:v>
      </x:c>
      <x:c r="K40" s="21" t="n">
        <x:f>ROUND(100*(Scoring_Weights!$B$2*(E40/MAX($E$2:$E$52))+Scoring_Weights!$B$3*(F40/MAX($F$2:$F$52))+Scoring_Weights!$B$4*(G40/MAX($G$2:$G$52))+Scoring_Weights!$B$5*(H40/100)+Scoring_Weights!$B$6*J40),0)</x:f>
        <x:v>64</x:v>
      </x:c>
      <x:c r="L40" s="10" t="str">
        <x:f>IF(K40&gt;=72,"Highest",IF(K40&gt;=60,"High",IF(K40&gt;=45,"Moderate","Low")))</x:f>
        <x:v>High</x:v>
      </x:c>
      <x:c r="M40" s="23" t="str">
        <x:f>IF(K40&gt;=70,"Prioritize digital campaigns and field coverage review",IF(K40&gt;=55,"Test targeted campaigns and monitor conversion","Maintain baseline coverage and reassess quarterly"))</x:f>
        <x:v>Test targeted campaigns and monitor conversion</x:v>
      </x:c>
    </x:row>
    <x:row r="41">
      <x:c r="A41" s="15" t="str">
        <x:v>44</x:v>
      </x:c>
      <x:c r="B41" s="15" t="str">
        <x:v>RI</x:v>
      </x:c>
      <x:c r="C41" s="10" t="str">
        <x:v>Rhode Island</x:v>
      </x:c>
      <x:c r="D41" s="10" t="str">
        <x:v>Northeast</x:v>
      </x:c>
      <x:c r="E41" s="17" t="n">
        <x:v>19000000</x:v>
      </x:c>
      <x:c r="F41" s="19" t="n">
        <x:v>1591</x:v>
      </x:c>
      <x:c r="G41" s="8" t="n">
        <x:v>0.12</x:v>
      </x:c>
      <x:c r="H41" s="21" t="n">
        <x:v>58</x:v>
      </x:c>
      <x:c r="I41" s="8" t="n">
        <x:v>0.45</x:v>
      </x:c>
      <x:c r="J41" s="8" t="n">
        <x:f>1-I41</x:f>
        <x:v>0.55</x:v>
      </x:c>
      <x:c r="K41" s="21" t="n">
        <x:f>ROUND(100*(Scoring_Weights!$B$2*(E41/MAX($E$2:$E$52))+Scoring_Weights!$B$3*(F41/MAX($F$2:$F$52))+Scoring_Weights!$B$4*(G41/MAX($G$2:$G$52))+Scoring_Weights!$B$5*(H41/100)+Scoring_Weights!$B$6*J41),0)</x:f>
        <x:v>37</x:v>
      </x:c>
      <x:c r="L41" s="10" t="str">
        <x:f>IF(K41&gt;=72,"Highest",IF(K41&gt;=60,"High",IF(K41&gt;=45,"Moderate","Low")))</x:f>
        <x:v>Low</x:v>
      </x:c>
      <x:c r="M41" s="23" t="str">
        <x:f>IF(K41&gt;=70,"Prioritize digital campaigns and field coverage review",IF(K41&gt;=55,"Test targeted campaigns and monitor conversion","Maintain baseline coverage and reassess quarterly"))</x:f>
        <x:v>Maintain baseline coverage and reassess quarterly</x:v>
      </x:c>
    </x:row>
    <x:row r="42">
      <x:c r="A42" s="15" t="str">
        <x:v>45</x:v>
      </x:c>
      <x:c r="B42" s="15" t="str">
        <x:v>SC</x:v>
      </x:c>
      <x:c r="C42" s="10" t="str">
        <x:v>South Carolina</x:v>
      </x:c>
      <x:c r="D42" s="10" t="str">
        <x:v>Southeast</x:v>
      </x:c>
      <x:c r="E42" s="17" t="n">
        <x:v>47000000</x:v>
      </x:c>
      <x:c r="F42" s="19" t="n">
        <x:v>3915</x:v>
      </x:c>
      <x:c r="G42" s="8" t="n">
        <x:v>0.22</x:v>
      </x:c>
      <x:c r="H42" s="21" t="n">
        <x:v>43</x:v>
      </x:c>
      <x:c r="I42" s="8" t="n">
        <x:v>0.73</x:v>
      </x:c>
      <x:c r="J42" s="8" t="n">
        <x:f>1-I42</x:f>
        <x:v>0.27</x:v>
      </x:c>
      <x:c r="K42" s="21" t="n">
        <x:f>ROUND(100*(Scoring_Weights!$B$2*(E42/MAX($E$2:$E$52))+Scoring_Weights!$B$3*(F42/MAX($F$2:$F$52))+Scoring_Weights!$B$4*(G42/MAX($G$2:$G$52))+Scoring_Weights!$B$5*(H42/100)+Scoring_Weights!$B$6*J42),0)</x:f>
        <x:v>52</x:v>
      </x:c>
      <x:c r="L42" s="10" t="str">
        <x:f>IF(K42&gt;=72,"Highest",IF(K42&gt;=60,"High",IF(K42&gt;=45,"Moderate","Low")))</x:f>
        <x:v>Moderate</x:v>
      </x:c>
      <x:c r="M42" s="23" t="str">
        <x:f>IF(K42&gt;=70,"Prioritize digital campaigns and field coverage review",IF(K42&gt;=55,"Test targeted campaigns and monitor conversion","Maintain baseline coverage and reassess quarterly"))</x:f>
        <x:v>Maintain baseline coverage and reassess quarterly</x:v>
      </x:c>
    </x:row>
    <x:row r="43">
      <x:c r="A43" s="15" t="str">
        <x:v>46</x:v>
      </x:c>
      <x:c r="B43" s="15" t="str">
        <x:v>SD</x:v>
      </x:c>
      <x:c r="C43" s="10" t="str">
        <x:v>South Dakota</x:v>
      </x:c>
      <x:c r="D43" s="10" t="str">
        <x:v>Mountain &amp; Plains</x:v>
      </x:c>
      <x:c r="E43" s="17" t="n">
        <x:v>36000000</x:v>
      </x:c>
      <x:c r="F43" s="19" t="n">
        <x:v>2339</x:v>
      </x:c>
      <x:c r="G43" s="8" t="n">
        <x:v>0.14</x:v>
      </x:c>
      <x:c r="H43" s="21" t="n">
        <x:v>71</x:v>
      </x:c>
      <x:c r="I43" s="8" t="n">
        <x:v>0.62</x:v>
      </x:c>
      <x:c r="J43" s="8" t="n">
        <x:f>1-I43</x:f>
        <x:v>0.38</x:v>
      </x:c>
      <x:c r="K43" s="21" t="n">
        <x:f>ROUND(100*(Scoring_Weights!$B$2*(E43/MAX($E$2:$E$52))+Scoring_Weights!$B$3*(F43/MAX($F$2:$F$52))+Scoring_Weights!$B$4*(G43/MAX($G$2:$G$52))+Scoring_Weights!$B$5*(H43/100)+Scoring_Weights!$B$6*J43),0)</x:f>
        <x:v>46</x:v>
      </x:c>
      <x:c r="L43" s="10" t="str">
        <x:f>IF(K43&gt;=72,"Highest",IF(K43&gt;=60,"High",IF(K43&gt;=45,"Moderate","Low")))</x:f>
        <x:v>Moderate</x:v>
      </x:c>
      <x:c r="M43" s="23" t="str">
        <x:f>IF(K43&gt;=70,"Prioritize digital campaigns and field coverage review",IF(K43&gt;=55,"Test targeted campaigns and monitor conversion","Maintain baseline coverage and reassess quarterly"))</x:f>
        <x:v>Maintain baseline coverage and reassess quarterly</x:v>
      </x:c>
    </x:row>
    <x:row r="44">
      <x:c r="A44" s="15" t="str">
        <x:v>47</x:v>
      </x:c>
      <x:c r="B44" s="15" t="str">
        <x:v>TN</x:v>
      </x:c>
      <x:c r="C44" s="10" t="str">
        <x:v>Tennessee</x:v>
      </x:c>
      <x:c r="D44" s="10" t="str">
        <x:v>Southeast</x:v>
      </x:c>
      <x:c r="E44" s="17" t="n">
        <x:v>25000000</x:v>
      </x:c>
      <x:c r="F44" s="19" t="n">
        <x:v>4663</x:v>
      </x:c>
      <x:c r="G44" s="8" t="n">
        <x:v>0.06</x:v>
      </x:c>
      <x:c r="H44" s="21" t="n">
        <x:v>56</x:v>
      </x:c>
      <x:c r="I44" s="8" t="n">
        <x:v>0.51</x:v>
      </x:c>
      <x:c r="J44" s="8" t="n">
        <x:f>1-I44</x:f>
        <x:v>0.49</x:v>
      </x:c>
      <x:c r="K44" s="21" t="n">
        <x:f>ROUND(100*(Scoring_Weights!$B$2*(E44/MAX($E$2:$E$52))+Scoring_Weights!$B$3*(F44/MAX($F$2:$F$52))+Scoring_Weights!$B$4*(G44/MAX($G$2:$G$52))+Scoring_Weights!$B$5*(H44/100)+Scoring_Weights!$B$6*J44),0)</x:f>
        <x:v>39</x:v>
      </x:c>
      <x:c r="L44" s="10" t="str">
        <x:f>IF(K44&gt;=72,"Highest",IF(K44&gt;=60,"High",IF(K44&gt;=45,"Moderate","Low")))</x:f>
        <x:v>Low</x:v>
      </x:c>
      <x:c r="M44" s="23" t="str">
        <x:f>IF(K44&gt;=70,"Prioritize digital campaigns and field coverage review",IF(K44&gt;=55,"Test targeted campaigns and monitor conversion","Maintain baseline coverage and reassess quarterly"))</x:f>
        <x:v>Maintain baseline coverage and reassess quarterly</x:v>
      </x:c>
    </x:row>
    <x:row r="45">
      <x:c r="A45" s="15" t="str">
        <x:v>48</x:v>
      </x:c>
      <x:c r="B45" s="15" t="str">
        <x:v>TX</x:v>
      </x:c>
      <x:c r="C45" s="10" t="str">
        <x:v>Texas</x:v>
      </x:c>
      <x:c r="D45" s="10" t="str">
        <x:v>Southeast</x:v>
      </x:c>
      <x:c r="E45" s="17" t="n">
        <x:v>84000000</x:v>
      </x:c>
      <x:c r="F45" s="19" t="n">
        <x:v>8750</x:v>
      </x:c>
      <x:c r="G45" s="8" t="n">
        <x:v>0.21</x:v>
      </x:c>
      <x:c r="H45" s="21" t="n">
        <x:v>91</x:v>
      </x:c>
      <x:c r="I45" s="8" t="n">
        <x:v>0.62</x:v>
      </x:c>
      <x:c r="J45" s="8" t="n">
        <x:f>1-I45</x:f>
        <x:v>0.38</x:v>
      </x:c>
      <x:c r="K45" s="21" t="n">
        <x:f>ROUND(100*(Scoring_Weights!$B$2*(E45/MAX($E$2:$E$52))+Scoring_Weights!$B$3*(F45/MAX($F$2:$F$52))+Scoring_Weights!$B$4*(G45/MAX($G$2:$G$52))+Scoring_Weights!$B$5*(H45/100)+Scoring_Weights!$B$6*J45),0)</x:f>
        <x:v>83</x:v>
      </x:c>
      <x:c r="L45" s="10" t="str">
        <x:f>IF(K45&gt;=72,"Highest",IF(K45&gt;=60,"High",IF(K45&gt;=45,"Moderate","Low")))</x:f>
        <x:v>Highest</x:v>
      </x:c>
      <x:c r="M45" s="23" t="str">
        <x:f>IF(K45&gt;=70,"Prioritize digital campaigns and field coverage review",IF(K45&gt;=55,"Test targeted campaigns and monitor conversion","Maintain baseline coverage and reassess quarterly"))</x:f>
        <x:v>Prioritize digital campaigns and field coverage review</x:v>
      </x:c>
    </x:row>
    <x:row r="46">
      <x:c r="A46" s="15" t="str">
        <x:v>49</x:v>
      </x:c>
      <x:c r="B46" s="15" t="str">
        <x:v>UT</x:v>
      </x:c>
      <x:c r="C46" s="10" t="str">
        <x:v>Utah</x:v>
      </x:c>
      <x:c r="D46" s="10" t="str">
        <x:v>Mountain &amp; Plains</x:v>
      </x:c>
      <x:c r="E46" s="17" t="n">
        <x:v>42000000</x:v>
      </x:c>
      <x:c r="F46" s="19" t="n">
        <x:v>1511</x:v>
      </x:c>
      <x:c r="G46" s="8" t="n">
        <x:v>0.08</x:v>
      </x:c>
      <x:c r="H46" s="21" t="n">
        <x:v>69</x:v>
      </x:c>
      <x:c r="I46" s="8" t="n">
        <x:v>0.68</x:v>
      </x:c>
      <x:c r="J46" s="8" t="n">
        <x:f>1-I46</x:f>
        <x:v>0.31999999999999995</x:v>
      </x:c>
      <x:c r="K46" s="21" t="n">
        <x:f>ROUND(100*(Scoring_Weights!$B$2*(E46/MAX($E$2:$E$52))+Scoring_Weights!$B$3*(F46/MAX($F$2:$F$52))+Scoring_Weights!$B$4*(G46/MAX($G$2:$G$52))+Scoring_Weights!$B$5*(H46/100)+Scoring_Weights!$B$6*J46),0)</x:f>
        <x:v>40</x:v>
      </x:c>
      <x:c r="L46" s="10" t="str">
        <x:f>IF(K46&gt;=72,"Highest",IF(K46&gt;=60,"High",IF(K46&gt;=45,"Moderate","Low")))</x:f>
        <x:v>Low</x:v>
      </x:c>
      <x:c r="M46" s="23" t="str">
        <x:f>IF(K46&gt;=70,"Prioritize digital campaigns and field coverage review",IF(K46&gt;=55,"Test targeted campaigns and monitor conversion","Maintain baseline coverage and reassess quarterly"))</x:f>
        <x:v>Maintain baseline coverage and reassess quarterly</x:v>
      </x:c>
    </x:row>
    <x:row r="47">
      <x:c r="A47" s="15" t="str">
        <x:v>50</x:v>
      </x:c>
      <x:c r="B47" s="15" t="str">
        <x:v>VT</x:v>
      </x:c>
      <x:c r="C47" s="10" t="str">
        <x:v>Vermont</x:v>
      </x:c>
      <x:c r="D47" s="10" t="str">
        <x:v>Northeast</x:v>
      </x:c>
      <x:c r="E47" s="17" t="n">
        <x:v>31000000</x:v>
      </x:c>
      <x:c r="F47" s="19" t="n">
        <x:v>3835</x:v>
      </x:c>
      <x:c r="G47" s="8" t="n">
        <x:v>0.18</x:v>
      </x:c>
      <x:c r="H47" s="21" t="n">
        <x:v>54</x:v>
      </x:c>
      <x:c r="I47" s="8" t="n">
        <x:v>0.57</x:v>
      </x:c>
      <x:c r="J47" s="8" t="n">
        <x:f>1-I47</x:f>
        <x:v>0.43000000000000005</x:v>
      </x:c>
      <x:c r="K47" s="21" t="n">
        <x:f>ROUND(100*(Scoring_Weights!$B$2*(E47/MAX($E$2:$E$52))+Scoring_Weights!$B$3*(F47/MAX($F$2:$F$52))+Scoring_Weights!$B$4*(G47/MAX($G$2:$G$52))+Scoring_Weights!$B$5*(H47/100)+Scoring_Weights!$B$6*J47),0)</x:f>
        <x:v>48</x:v>
      </x:c>
      <x:c r="L47" s="10" t="str">
        <x:f>IF(K47&gt;=72,"Highest",IF(K47&gt;=60,"High",IF(K47&gt;=45,"Moderate","Low")))</x:f>
        <x:v>Moderate</x:v>
      </x:c>
      <x:c r="M47" s="23" t="str">
        <x:f>IF(K47&gt;=70,"Prioritize digital campaigns and field coverage review",IF(K47&gt;=55,"Test targeted campaigns and monitor conversion","Maintain baseline coverage and reassess quarterly"))</x:f>
        <x:v>Maintain baseline coverage and reassess quarterly</x:v>
      </x:c>
    </x:row>
    <x:row r="48">
      <x:c r="A48" s="15" t="str">
        <x:v>51</x:v>
      </x:c>
      <x:c r="B48" s="15" t="str">
        <x:v>VA</x:v>
      </x:c>
      <x:c r="C48" s="10" t="str">
        <x:v>Virginia</x:v>
      </x:c>
      <x:c r="D48" s="10" t="str">
        <x:v>Northeast</x:v>
      </x:c>
      <x:c r="E48" s="17" t="n">
        <x:v>20000000</x:v>
      </x:c>
      <x:c r="F48" s="19" t="n">
        <x:v>2259</x:v>
      </x:c>
      <x:c r="G48" s="8" t="n">
        <x:v>0.1</x:v>
      </x:c>
      <x:c r="H48" s="21" t="n">
        <x:v>82</x:v>
      </x:c>
      <x:c r="I48" s="8" t="n">
        <x:v>0.46</x:v>
      </x:c>
      <x:c r="J48" s="8" t="n">
        <x:f>1-I48</x:f>
        <x:v>0.54</x:v>
      </x:c>
      <x:c r="K48" s="21" t="n">
        <x:f>ROUND(100*(Scoring_Weights!$B$2*(E48/MAX($E$2:$E$52))+Scoring_Weights!$B$3*(F48/MAX($F$2:$F$52))+Scoring_Weights!$B$4*(G48/MAX($G$2:$G$52))+Scoring_Weights!$B$5*(H48/100)+Scoring_Weights!$B$6*J48),0)</x:f>
        <x:v>42</x:v>
      </x:c>
      <x:c r="L48" s="10" t="str">
        <x:f>IF(K48&gt;=72,"Highest",IF(K48&gt;=60,"High",IF(K48&gt;=45,"Moderate","Low")))</x:f>
        <x:v>Low</x:v>
      </x:c>
      <x:c r="M48" s="23" t="str">
        <x:f>IF(K48&gt;=70,"Prioritize digital campaigns and field coverage review",IF(K48&gt;=55,"Test targeted campaigns and monitor conversion","Maintain baseline coverage and reassess quarterly"))</x:f>
        <x:v>Maintain baseline coverage and reassess quarterly</x:v>
      </x:c>
    </x:row>
    <x:row r="49">
      <x:c r="A49" s="15" t="str">
        <x:v>53</x:v>
      </x:c>
      <x:c r="B49" s="15" t="str">
        <x:v>WA</x:v>
      </x:c>
      <x:c r="C49" s="10" t="str">
        <x:v>Washington</x:v>
      </x:c>
      <x:c r="D49" s="10" t="str">
        <x:v>West</x:v>
      </x:c>
      <x:c r="E49" s="17" t="n">
        <x:v>26000000</x:v>
      </x:c>
      <x:c r="F49" s="19" t="n">
        <x:v>2094</x:v>
      </x:c>
      <x:c r="G49" s="8" t="n">
        <x:v>0.19</x:v>
      </x:c>
      <x:c r="H49" s="21" t="n">
        <x:v>84</x:v>
      </x:c>
      <x:c r="I49" s="8" t="n">
        <x:v>0.52</x:v>
      </x:c>
      <x:c r="J49" s="8" t="n">
        <x:f>1-I49</x:f>
        <x:v>0.48</x:v>
      </x:c>
      <x:c r="K49" s="21" t="n">
        <x:f>ROUND(100*(Scoring_Weights!$B$2*(E49/MAX($E$2:$E$52))+Scoring_Weights!$B$3*(F49/MAX($F$2:$F$52))+Scoring_Weights!$B$4*(G49/MAX($G$2:$G$52))+Scoring_Weights!$B$5*(H49/100)+Scoring_Weights!$B$6*J49),0)</x:f>
        <x:v>50</x:v>
      </x:c>
      <x:c r="L49" s="10" t="str">
        <x:f>IF(K49&gt;=72,"Highest",IF(K49&gt;=60,"High",IF(K49&gt;=45,"Moderate","Low")))</x:f>
        <x:v>Moderate</x:v>
      </x:c>
      <x:c r="M49" s="23" t="str">
        <x:f>IF(K49&gt;=70,"Prioritize digital campaigns and field coverage review",IF(K49&gt;=55,"Test targeted campaigns and monitor conversion","Maintain baseline coverage and reassess quarterly"))</x:f>
        <x:v>Maintain baseline coverage and reassess quarterly</x:v>
      </x:c>
    </x:row>
    <x:row r="50">
      <x:c r="A50" s="15" t="str">
        <x:v>54</x:v>
      </x:c>
      <x:c r="B50" s="15" t="str">
        <x:v>WV</x:v>
      </x:c>
      <x:c r="C50" s="10" t="str">
        <x:v>West Virginia</x:v>
      </x:c>
      <x:c r="D50" s="10" t="str">
        <x:v>Northeast</x:v>
      </x:c>
      <x:c r="E50" s="17" t="n">
        <x:v>15000000</x:v>
      </x:c>
      <x:c r="F50" s="19" t="n">
        <x:v>4418</x:v>
      </x:c>
      <x:c r="G50" s="8" t="n">
        <x:v>0.11</x:v>
      </x:c>
      <x:c r="H50" s="21" t="n">
        <x:v>69</x:v>
      </x:c>
      <x:c r="I50" s="8" t="n">
        <x:v>0.41</x:v>
      </x:c>
      <x:c r="J50" s="8" t="n">
        <x:f>1-I50</x:f>
        <x:v>0.5900000000000001</x:v>
      </x:c>
      <x:c r="K50" s="21" t="n">
        <x:f>ROUND(100*(Scoring_Weights!$B$2*(E50/MAX($E$2:$E$52))+Scoring_Weights!$B$3*(F50/MAX($F$2:$F$52))+Scoring_Weights!$B$4*(G50/MAX($G$2:$G$52))+Scoring_Weights!$B$5*(H50/100)+Scoring_Weights!$B$6*J50),0)</x:f>
        <x:v>43</x:v>
      </x:c>
      <x:c r="L50" s="10" t="str">
        <x:f>IF(K50&gt;=72,"Highest",IF(K50&gt;=60,"High",IF(K50&gt;=45,"Moderate","Low")))</x:f>
        <x:v>Low</x:v>
      </x:c>
      <x:c r="M50" s="23" t="str">
        <x:f>IF(K50&gt;=70,"Prioritize digital campaigns and field coverage review",IF(K50&gt;=55,"Test targeted campaigns and monitor conversion","Maintain baseline coverage and reassess quarterly"))</x:f>
        <x:v>Maintain baseline coverage and reassess quarterly</x:v>
      </x:c>
    </x:row>
    <x:row r="51">
      <x:c r="A51" s="15" t="str">
        <x:v>55</x:v>
      </x:c>
      <x:c r="B51" s="15" t="str">
        <x:v>WI</x:v>
      </x:c>
      <x:c r="C51" s="10" t="str">
        <x:v>Wisconsin</x:v>
      </x:c>
      <x:c r="D51" s="10" t="str">
        <x:v>Central</x:v>
      </x:c>
      <x:c r="E51" s="17" t="n">
        <x:v>43000000</x:v>
      </x:c>
      <x:c r="F51" s="19" t="n">
        <x:v>2842</x:v>
      </x:c>
      <x:c r="G51" s="8" t="n">
        <x:v>0.21</x:v>
      </x:c>
      <x:c r="H51" s="21" t="n">
        <x:v>54</x:v>
      </x:c>
      <x:c r="I51" s="8" t="n">
        <x:v>0.69</x:v>
      </x:c>
      <x:c r="J51" s="8" t="n">
        <x:f>1-I51</x:f>
        <x:v>0.31000000000000005</x:v>
      </x:c>
      <x:c r="K51" s="21" t="n">
        <x:f>ROUND(100*(Scoring_Weights!$B$2*(E51/MAX($E$2:$E$52))+Scoring_Weights!$B$3*(F51/MAX($F$2:$F$52))+Scoring_Weights!$B$4*(G51/MAX($G$2:$G$52))+Scoring_Weights!$B$5*(H51/100)+Scoring_Weights!$B$6*J51),0)</x:f>
        <x:v>50</x:v>
      </x:c>
      <x:c r="L51" s="10" t="str">
        <x:f>IF(K51&gt;=72,"Highest",IF(K51&gt;=60,"High",IF(K51&gt;=45,"Moderate","Low")))</x:f>
        <x:v>Moderate</x:v>
      </x:c>
      <x:c r="M51" s="23" t="str">
        <x:f>IF(K51&gt;=70,"Prioritize digital campaigns and field coverage review",IF(K51&gt;=55,"Test targeted campaigns and monitor conversion","Maintain baseline coverage and reassess quarterly"))</x:f>
        <x:v>Maintain baseline coverage and reassess quarterly</x:v>
      </x:c>
    </x:row>
    <x:row r="52">
      <x:c r="A52" s="15" t="str">
        <x:v>56</x:v>
      </x:c>
      <x:c r="B52" s="15" t="str">
        <x:v>WY</x:v>
      </x:c>
      <x:c r="C52" s="10" t="str">
        <x:v>Wyoming</x:v>
      </x:c>
      <x:c r="D52" s="10" t="str">
        <x:v>Mountain &amp; Plains</x:v>
      </x:c>
      <x:c r="E52" s="17" t="n">
        <x:v>32000000</x:v>
      </x:c>
      <x:c r="F52" s="19" t="n">
        <x:v>5166</x:v>
      </x:c>
      <x:c r="G52" s="8" t="n">
        <x:v>0.13</x:v>
      </x:c>
      <x:c r="H52" s="21" t="n">
        <x:v>82</x:v>
      </x:c>
      <x:c r="I52" s="8" t="n">
        <x:v>0.58</x:v>
      </x:c>
      <x:c r="J52" s="8" t="n">
        <x:f>1-I52</x:f>
        <x:v>0.42000000000000004</x:v>
      </x:c>
      <x:c r="K52" s="21" t="n">
        <x:f>ROUND(100*(Scoring_Weights!$B$2*(E52/MAX($E$2:$E$52))+Scoring_Weights!$B$3*(F52/MAX($F$2:$F$52))+Scoring_Weights!$B$4*(G52/MAX($G$2:$G$52))+Scoring_Weights!$B$5*(H52/100)+Scoring_Weights!$B$6*J52),0)</x:f>
        <x:v>52</x:v>
      </x:c>
      <x:c r="L52" s="10" t="str">
        <x:f>IF(K52&gt;=72,"Highest",IF(K52&gt;=60,"High",IF(K52&gt;=45,"Moderate","Low")))</x:f>
        <x:v>Moderate</x:v>
      </x:c>
      <x:c r="M52" s="23" t="str">
        <x:f>IF(K52&gt;=70,"Prioritize digital campaigns and field coverage review",IF(K52&gt;=55,"Test targeted campaigns and monitor conversion","Maintain baseline coverage and reassess quarterly"))</x:f>
        <x:v>Maintain baseline coverage and reassess quarterly</x:v>
      </x:c>
    </x:row>
  </x:sheetData>
  <x:conditionalFormatting sqref="K2:K52">
    <x:cfRule type="colorScale" priority="1">
      <x:colorScale>
        <x:cfvo type="min"/>
        <x:cfvo type="percentile" val="50"/>
        <x:cfvo type="max"/>
        <x:color rgb="FFE9F0F2"/>
        <x:color rgb="FF82B6BF"/>
        <x:color rgb="FFD85F30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dcc76e154e5417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34" hidden="0" customWidth="1"/>
  </x:cols>
  <x:sheetData>
    <x:row r="1">
      <x:c r="A1" s="4" t="str">
        <x:v>Metric</x:v>
      </x:c>
      <x:c r="B1" s="4" t="str">
        <x:v>Weight</x:v>
      </x:c>
      <x:c r="C1" s="4" t="str">
        <x:v>Rationale</x:v>
      </x:c>
    </x:row>
    <x:row r="2">
      <x:c r="A2" s="10" t="str">
        <x:v>E-commerce Sales</x:v>
      </x:c>
      <x:c r="B2" s="8" t="n">
        <x:v>0.28</x:v>
      </x:c>
      <x:c r="C2" s="10" t="str">
        <x:v>Current commercial value</x:v>
      </x:c>
    </x:row>
    <x:row r="3">
      <x:c r="A3" s="10" t="str">
        <x:v>Online Orders</x:v>
      </x:c>
      <x:c r="B3" s="8" t="n">
        <x:v>0.2</x:v>
      </x:c>
      <x:c r="C3" s="10" t="str">
        <x:v>Transaction demand</x:v>
      </x:c>
    </x:row>
    <x:row r="4">
      <x:c r="A4" s="10" t="str">
        <x:v>YoY Growth</x:v>
      </x:c>
      <x:c r="B4" s="8" t="n">
        <x:v>0.2</x:v>
      </x:c>
      <x:c r="C4" s="10" t="str">
        <x:v>Market momentum</x:v>
      </x:c>
    </x:row>
    <x:row r="5">
      <x:c r="A5" s="10" t="str">
        <x:v>Market Potential</x:v>
      </x:c>
      <x:c r="B5" s="8" t="n">
        <x:v>0.2</x:v>
      </x:c>
      <x:c r="C5" s="10" t="str">
        <x:v>Addressable opportunity</x:v>
      </x:c>
    </x:row>
    <x:row r="6">
      <x:c r="A6" s="10" t="str">
        <x:v>Whitespace</x:v>
      </x:c>
      <x:c r="B6" s="8" t="n">
        <x:v>0.12</x:v>
      </x:c>
      <x:c r="C6" s="10" t="str">
        <x:v>Low current coverage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68" hidden="0" customWidth="1"/>
  </x:cols>
  <x:sheetData>
    <x:row r="1">
      <x:c r="A1" s="3" t="str">
        <x:v>Section</x:v>
      </x:c>
      <x:c r="B1" s="3" t="str">
        <x:v>Item</x:v>
      </x:c>
      <x:c r="C1" s="3" t="str">
        <x:v>Specification</x:v>
      </x:c>
    </x:row>
    <x:row r="2">
      <x:c r="A2" s="10" t="str">
        <x:v>Data model</x:v>
      </x:c>
      <x:c r="B2" s="10" t="str">
        <x:v>Fact table</x:v>
      </x:c>
      <x:c r="C2" s="23" t="str">
        <x:v>Scored_Data or exported RapidMiner CSV</x:v>
      </x:c>
    </x:row>
    <x:row r="3">
      <x:c r="A3" s="10" t="str">
        <x:v>Data model</x:v>
      </x:c>
      <x:c r="B3" s="10" t="str">
        <x:v>Geography key</x:v>
      </x:c>
      <x:c r="C3" s="23" t="str">
        <x:v>State FIPS for the state map; ZIP5 for a detailed production model</x:v>
      </x:c>
    </x:row>
    <x:row r="4">
      <x:c r="A4" s="10" t="str">
        <x:v>Relationships</x:v>
      </x:c>
      <x:c r="B4" s="10" t="str">
        <x:v>Territory</x:v>
      </x:c>
      <x:c r="C4" s="23" t="str">
        <x:v>Many-to-one from fact data to a territory dimension</x:v>
      </x:c>
    </x:row>
    <x:row r="5">
      <x:c r="A5" s="10" t="str">
        <x:v>Measure</x:v>
      </x:c>
      <x:c r="B5" s="10" t="str">
        <x:v>Modeled Sales</x:v>
      </x:c>
      <x:c r="C5" s="23" t="str">
        <x:v>SUM(Scored_Data[E-commerce Sales])</x:v>
      </x:c>
    </x:row>
    <x:row r="6">
      <x:c r="A6" s="10" t="str">
        <x:v>Measure</x:v>
      </x:c>
      <x:c r="B6" s="10" t="str">
        <x:v>Priority Markets</x:v>
      </x:c>
      <x:c r="C6" s="23" t="str">
        <x:v>CALCULATE(DISTINCTCOUNT(Scored_Data[State Abbr]), Scored_Data[Priority Score] &gt;= 70)</x:v>
      </x:c>
    </x:row>
    <x:row r="7">
      <x:c r="A7" s="10" t="str">
        <x:v>Measure</x:v>
      </x:c>
      <x:c r="B7" s="10" t="str">
        <x:v>Weighted Growth</x:v>
      </x:c>
      <x:c r="C7" s="23" t="str">
        <x:v>DIVIDE(SUMX(Scored_Data, Scored_Data[YoY Growth] * Scored_Data[E-commerce Sales]), [Modeled Sales])</x:v>
      </x:c>
    </x:row>
    <x:row r="8">
      <x:c r="A8" s="10" t="str">
        <x:v>Visual</x:v>
      </x:c>
      <x:c r="B8" s="10" t="str">
        <x:v>Map</x:v>
      </x:c>
      <x:c r="C8" s="23" t="str">
        <x:v>Filled map or Azure Maps by State FIPS, colored by Priority Score</x:v>
      </x:c>
    </x:row>
    <x:row r="9">
      <x:c r="A9" s="10" t="str">
        <x:v>Visual</x:v>
      </x:c>
      <x:c r="B9" s="10" t="str">
        <x:v>KPI cards</x:v>
      </x:c>
      <x:c r="C9" s="23" t="str">
        <x:v>Sales, priority-market count, weighted growth, and top territory</x:v>
      </x:c>
    </x:row>
    <x:row r="10">
      <x:c r="A10" s="10" t="str">
        <x:v>Visual</x:v>
      </x:c>
      <x:c r="B10" s="10" t="str">
        <x:v>Ranking</x:v>
      </x:c>
      <x:c r="C10" s="23" t="str">
        <x:v>Horizontal bar chart of states by Priority Score</x:v>
      </x:c>
    </x:row>
    <x:row r="11">
      <x:c r="A11" s="10" t="str">
        <x:v>Visual</x:v>
      </x:c>
      <x:c r="B11" s="10" t="str">
        <x:v>Detail table</x:v>
      </x:c>
      <x:c r="C11" s="23" t="str">
        <x:v>State, territory, sales, orders, growth, coverage, whitespace, and action</x:v>
      </x:c>
    </x:row>
    <x:row r="12">
      <x:c r="A12" s="10" t="str">
        <x:v>Slicer</x:v>
      </x:c>
      <x:c r="B12" s="10" t="str">
        <x:v>Territory</x:v>
      </x:c>
      <x:c r="C12" s="23" t="str">
        <x:v>Single or multi-select territory filter</x:v>
      </x:c>
    </x:row>
    <x:row r="13">
      <x:c r="A13" s="10" t="str">
        <x:v>Slicer</x:v>
      </x:c>
      <x:c r="B13" s="10" t="str">
        <x:v>Priority tier</x:v>
      </x:c>
      <x:c r="C13" s="23" t="str">
        <x:v>Highest, High, Moderate, Low</x:v>
      </x:c>
    </x:row>
    <x:row r="14">
      <x:c r="A14" s="10" t="str">
        <x:v>Tooltip</x:v>
      </x:c>
      <x:c r="B14" s="10" t="str">
        <x:v>Market profile</x:v>
      </x:c>
      <x:c r="C14" s="23" t="str">
        <x:v>Sales, orders, growth, market potential, coverage, and whitespace</x:v>
      </x:c>
    </x:row>
    <x:row r="15">
      <x:c r="A15" s="10" t="str">
        <x:v>Refresh</x:v>
      </x:c>
      <x:c r="B15" s="10" t="str">
        <x:v>Source</x:v>
      </x:c>
      <x:c r="C15" s="23" t="str">
        <x:v>RapidMiner-scored CSV in SharePoint, OneDrive, or a governed data lake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60" hidden="0" customWidth="1"/>
    <x:col min="4" max="4" width="28" hidden="0" customWidth="1"/>
  </x:cols>
  <x:sheetData>
    <x:row r="1">
      <x:c r="A1" s="46" t="str">
        <x:v>Step</x:v>
      </x:c>
      <x:c r="B1" s="46" t="str">
        <x:v>RapidMiner Operator / Stage</x:v>
      </x:c>
      <x:c r="C1" s="46" t="str">
        <x:v>Purpose</x:v>
      </x:c>
      <x:c r="D1" s="46" t="str">
        <x:v>Output</x:v>
      </x:c>
    </x:row>
    <x:row r="2">
      <x:c r="A2" s="10" t="n">
        <x:v>1</x:v>
      </x:c>
      <x:c r="B2" s="23" t="str">
        <x:v>Read CSV / Read Excel</x:v>
      </x:c>
      <x:c r="C2" s="23" t="str">
        <x:v>Load e-commerce transactions and geographic reference data</x:v>
      </x:c>
      <x:c r="D2" s="23" t="str">
        <x:v>Raw example sets</x:v>
      </x:c>
    </x:row>
    <x:row r="3">
      <x:c r="A3" s="10" t="n">
        <x:v>2</x:v>
      </x:c>
      <x:c r="B3" s="23" t="str">
        <x:v>Select Attributes + Set Role</x:v>
      </x:c>
      <x:c r="C3" s="23" t="str">
        <x:v>Retain required fields and define IDs or labels</x:v>
      </x:c>
      <x:c r="D3" s="23" t="str">
        <x:v>Controlled schema</x:v>
      </x:c>
    </x:row>
    <x:row r="4">
      <x:c r="A4" s="10" t="n">
        <x:v>3</x:v>
      </x:c>
      <x:c r="B4" s="23" t="str">
        <x:v>Replace Missing Values</x:v>
      </x:c>
      <x:c r="C4" s="23" t="str">
        <x:v>Handle null sales, order, ZIP, and segment values</x:v>
      </x:c>
      <x:c r="D4" s="23" t="str">
        <x:v>Complete records</x:v>
      </x:c>
    </x:row>
    <x:row r="5">
      <x:c r="A5" s="10" t="n">
        <x:v>4</x:v>
      </x:c>
      <x:c r="B5" s="23" t="str">
        <x:v>Generate Attributes</x:v>
      </x:c>
      <x:c r="C5" s="23" t="str">
        <x:v>Standardize ZIP5, calculate revenue, and derive date fields</x:v>
      </x:c>
      <x:c r="D5" s="23" t="str">
        <x:v>Clean analytic fields</x:v>
      </x:c>
    </x:row>
    <x:row r="6">
      <x:c r="A6" s="10" t="n">
        <x:v>5</x:v>
      </x:c>
      <x:c r="B6" s="23" t="str">
        <x:v>Remove Duplicates</x:v>
      </x:c>
      <x:c r="C6" s="23" t="str">
        <x:v>Deduplicate transaction or customer-order keys</x:v>
      </x:c>
      <x:c r="D6" s="23" t="str">
        <x:v>Unique records</x:v>
      </x:c>
    </x:row>
    <x:row r="7">
      <x:c r="A7" s="10" t="n">
        <x:v>6</x:v>
      </x:c>
      <x:c r="B7" s="23" t="str">
        <x:v>Join</x:v>
      </x:c>
      <x:c r="C7" s="23" t="str">
        <x:v>Enrich with ZIP-to-state, territory, market-potential, and coverage tables</x:v>
      </x:c>
      <x:c r="D7" s="23" t="str">
        <x:v>Geographically enriched data</x:v>
      </x:c>
    </x:row>
    <x:row r="8">
      <x:c r="A8" s="10" t="n">
        <x:v>7</x:v>
      </x:c>
      <x:c r="B8" s="23" t="str">
        <x:v>Aggregate</x:v>
      </x:c>
      <x:c r="C8" s="23" t="str">
        <x:v>Summarize sales, orders, and customer activity by state or ZIP</x:v>
      </x:c>
      <x:c r="D8" s="23" t="str">
        <x:v>Geographic fact table</x:v>
      </x:c>
    </x:row>
    <x:row r="9">
      <x:c r="A9" s="10" t="n">
        <x:v>8</x:v>
      </x:c>
      <x:c r="B9" s="23" t="str">
        <x:v>Normalize</x:v>
      </x:c>
      <x:c r="C9" s="23" t="str">
        <x:v>Scale sales, orders, and growth to comparable ranges</x:v>
      </x:c>
      <x:c r="D9" s="23" t="str">
        <x:v>Normalized predictors</x:v>
      </x:c>
    </x:row>
    <x:row r="10">
      <x:c r="A10" s="10" t="n">
        <x:v>9</x:v>
      </x:c>
      <x:c r="B10" s="23" t="str">
        <x:v>Generate Attributes</x:v>
      </x:c>
      <x:c r="C10" s="23" t="str">
        <x:v>Calculate the composite priority score using documented weights</x:v>
      </x:c>
      <x:c r="D10" s="23" t="str">
        <x:v>Priority score</x:v>
      </x:c>
    </x:row>
    <x:row r="11">
      <x:c r="A11" s="10" t="n">
        <x:v>10</x:v>
      </x:c>
      <x:c r="B11" s="23" t="str">
        <x:v>Discretize by User Specification</x:v>
      </x:c>
      <x:c r="C11" s="23" t="str">
        <x:v>Assign Highest, High, Moderate, or Low tiers</x:v>
      </x:c>
      <x:c r="D11" s="23" t="str">
        <x:v>Priority tier</x:v>
      </x:c>
    </x:row>
    <x:row r="12">
      <x:c r="A12" s="10" t="n">
        <x:v>11</x:v>
      </x:c>
      <x:c r="B12" s="23" t="str">
        <x:v>Write CSV</x:v>
      </x:c>
      <x:c r="C12" s="23" t="str">
        <x:v>Publish a flat scored table for the Power BI refresh</x:v>
      </x:c>
      <x:c r="D12" s="23" t="str">
        <x:v>synthetic_targeting_data.csv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68" hidden="0" customWidth="1"/>
  </x:cols>
  <x:sheetData>
    <x:row r="1">
      <x:c r="A1" s="52" t="str">
        <x:v>Field</x:v>
      </x:c>
      <x:c r="B1" s="52" t="str">
        <x:v>Type</x:v>
      </x:c>
      <x:c r="C1" s="52" t="str">
        <x:v>Definition</x:v>
      </x:c>
    </x:row>
    <x:row r="2">
      <x:c r="A2" s="10" t="str">
        <x:v>state_fips</x:v>
      </x:c>
      <x:c r="B2" s="10" t="str">
        <x:v>Text</x:v>
      </x:c>
      <x:c r="C2" s="23" t="str">
        <x:v>Two-digit state FIPS key used for geographic joins</x:v>
      </x:c>
    </x:row>
    <x:row r="3">
      <x:c r="A3" s="10" t="str">
        <x:v>state_abbr</x:v>
      </x:c>
      <x:c r="B3" s="10" t="str">
        <x:v>Text</x:v>
      </x:c>
      <x:c r="C3" s="23" t="str">
        <x:v>Two-letter postal abbreviation</x:v>
      </x:c>
    </x:row>
    <x:row r="4">
      <x:c r="A4" s="10" t="str">
        <x:v>state_name</x:v>
      </x:c>
      <x:c r="B4" s="10" t="str">
        <x:v>Text</x:v>
      </x:c>
      <x:c r="C4" s="23" t="str">
        <x:v>State or District of Columbia name</x:v>
      </x:c>
    </x:row>
    <x:row r="5">
      <x:c r="A5" s="10" t="str">
        <x:v>territory</x:v>
      </x:c>
      <x:c r="B5" s="10" t="str">
        <x:v>Text</x:v>
      </x:c>
      <x:c r="C5" s="23" t="str">
        <x:v>Synthetic sales-territory assignment</x:v>
      </x:c>
    </x:row>
    <x:row r="6">
      <x:c r="A6" s="10" t="str">
        <x:v>ecomm_sales</x:v>
      </x:c>
      <x:c r="B6" s="10" t="str">
        <x:v>Currency</x:v>
      </x:c>
      <x:c r="C6" s="23" t="str">
        <x:v>Synthetic annual e-commerce revenue</x:v>
      </x:c>
    </x:row>
    <x:row r="7">
      <x:c r="A7" s="10" t="str">
        <x:v>online_orders</x:v>
      </x:c>
      <x:c r="B7" s="10" t="str">
        <x:v>Whole number</x:v>
      </x:c>
      <x:c r="C7" s="23" t="str">
        <x:v>Synthetic annual online order count</x:v>
      </x:c>
    </x:row>
    <x:row r="8">
      <x:c r="A8" s="10" t="str">
        <x:v>growth_pct</x:v>
      </x:c>
      <x:c r="B8" s="10" t="str">
        <x:v>Percentage</x:v>
      </x:c>
      <x:c r="C8" s="23" t="str">
        <x:v>Synthetic year-over-year growth</x:v>
      </x:c>
    </x:row>
    <x:row r="9">
      <x:c r="A9" s="10" t="str">
        <x:v>market_potential</x:v>
      </x:c>
      <x:c r="B9" s="10" t="str">
        <x:v>Whole number</x:v>
      </x:c>
      <x:c r="C9" s="23" t="str">
        <x:v>Modeled addressable-market score from 0 to 100</x:v>
      </x:c>
    </x:row>
    <x:row r="10">
      <x:c r="A10" s="10" t="str">
        <x:v>coverage_pct</x:v>
      </x:c>
      <x:c r="B10" s="10" t="str">
        <x:v>Percentage</x:v>
      </x:c>
      <x:c r="C10" s="23" t="str">
        <x:v>Modeled current commercial coverage</x:v>
      </x:c>
    </x:row>
    <x:row r="11">
      <x:c r="A11" s="10" t="str">
        <x:v>whitespace_pct</x:v>
      </x:c>
      <x:c r="B11" s="10" t="str">
        <x:v>Percentage</x:v>
      </x:c>
      <x:c r="C11" s="23" t="str">
        <x:v>One minus current coverage</x:v>
      </x:c>
    </x:row>
    <x:row r="12">
      <x:c r="A12" s="10" t="str">
        <x:v>priority_score</x:v>
      </x:c>
      <x:c r="B12" s="10" t="str">
        <x:v>Whole number</x:v>
      </x:c>
      <x:c r="C12" s="23" t="str">
        <x:v>Weighted opportunity score from 0 to 100</x:v>
      </x:c>
    </x:row>
    <x:row r="13">
      <x:c r="A13" s="10" t="str">
        <x:v>priority_tier</x:v>
      </x:c>
      <x:c r="B13" s="10" t="str">
        <x:v>Text</x:v>
      </x:c>
      <x:c r="C13" s="23" t="str">
        <x:v>Highest, High, Moderate, or Low</x:v>
      </x:c>
    </x:row>
    <x:row r="14">
      <x:c r="A14" s="10" t="str">
        <x:v>recommended_action</x:v>
      </x:c>
      <x:c r="B14" s="10" t="str">
        <x:v>Text</x:v>
      </x:c>
      <x:c r="C14" s="23" t="str">
        <x:v>Rule-based commercial next step</x:v>
      </x:c>
    </x:row>
  </x:sheetData>
  <x:pageMargins left="0.7" right="0.7" top="0.75" bottom="0.75" header="0.3" footer="0.3"/>
</x:worksheet>
</file>